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mc:AlternateContent xmlns:mc="http://schemas.openxmlformats.org/markup-compatibility/2006">
    <mc:Choice Requires="x15">
      <x15ac:absPath xmlns:x15ac="http://schemas.microsoft.com/office/spreadsheetml/2010/11/ac" url="C:\Users\Asus\Desktop\New folder (2)\Empower Her Community\EHP Group1\"/>
    </mc:Choice>
  </mc:AlternateContent>
  <xr:revisionPtr revIDLastSave="0" documentId="13_ncr:1_{43E7246E-6C95-4C91-856D-0A279D74F4CE}" xr6:coauthVersionLast="36" xr6:coauthVersionMax="47" xr10:uidLastSave="{00000000-0000-0000-0000-000000000000}"/>
  <bookViews>
    <workbookView xWindow="0" yWindow="0" windowWidth="23040" windowHeight="9060" firstSheet="1" activeTab="5" xr2:uid="{00000000-000D-0000-FFFF-FFFF00000000}"/>
  </bookViews>
  <sheets>
    <sheet name="Sheet1" sheetId="2" r:id="rId1"/>
    <sheet name="Sheet2" sheetId="3" r:id="rId2"/>
    <sheet name="Sheet3" sheetId="4" r:id="rId3"/>
    <sheet name="Montgomery_Fleet_Equipment_Inve" sheetId="1" r:id="rId4"/>
    <sheet name="dashboard" sheetId="5" state="hidden" r:id="rId5"/>
    <sheet name="Sheet4" sheetId="6" r:id="rId6"/>
    <sheet name="Sheet5" sheetId="7" r:id="rId7"/>
  </sheets>
  <definedNames>
    <definedName name="_xlnm._FilterDatabase" localSheetId="3" hidden="1">Montgomery_Fleet_Equipment_Inve!$A$1:$E$54</definedName>
    <definedName name="Slicer_Equipment_Class">#N/A</definedName>
    <definedName name="Slicer_New_Depart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60" i="1" l="1"/>
  <c r="E59" i="1"/>
  <c r="E58" i="1"/>
  <c r="E57" i="1"/>
  <c r="E56" i="1"/>
</calcChain>
</file>

<file path=xl/sharedStrings.xml><?xml version="1.0" encoding="utf-8"?>
<sst xmlns="http://schemas.openxmlformats.org/spreadsheetml/2006/main" count="441" uniqueCount="72">
  <si>
    <t>Department</t>
  </si>
  <si>
    <t>Equipment Class</t>
  </si>
  <si>
    <t>Equipment Count</t>
  </si>
  <si>
    <t>Board of</t>
  </si>
  <si>
    <t>Elections</t>
  </si>
  <si>
    <t>Van</t>
  </si>
  <si>
    <t>Circuit</t>
  </si>
  <si>
    <t>Court</t>
  </si>
  <si>
    <t>SUV</t>
  </si>
  <si>
    <t>Community Engagement</t>
  </si>
  <si>
    <t>Cluster</t>
  </si>
  <si>
    <t>Community Use of Public</t>
  </si>
  <si>
    <t>Facilities</t>
  </si>
  <si>
    <t>Sedan</t>
  </si>
  <si>
    <t>Consumer</t>
  </si>
  <si>
    <t>Protection</t>
  </si>
  <si>
    <t>Correction and</t>
  </si>
  <si>
    <t>Rehabilitation</t>
  </si>
  <si>
    <t>Pick Up Trucks</t>
  </si>
  <si>
    <t>CUV</t>
  </si>
  <si>
    <t>County Executives</t>
  </si>
  <si>
    <t>Office</t>
  </si>
  <si>
    <t>Public Safety SUV</t>
  </si>
  <si>
    <t>Economic</t>
  </si>
  <si>
    <t>Development</t>
  </si>
  <si>
    <t>Medium Duty</t>
  </si>
  <si>
    <t>Finance</t>
  </si>
  <si>
    <t>Fire and</t>
  </si>
  <si>
    <t>Rescue</t>
  </si>
  <si>
    <t>Public Safety Pick Up Trucks</t>
  </si>
  <si>
    <t>Public Safety Sedan</t>
  </si>
  <si>
    <t>Public Safety Van</t>
  </si>
  <si>
    <t>Public Safety CUV</t>
  </si>
  <si>
    <t>Public Safety Heavy Duty</t>
  </si>
  <si>
    <t>Heavy Duty</t>
  </si>
  <si>
    <t>Transit Bus</t>
  </si>
  <si>
    <t>General</t>
  </si>
  <si>
    <t>Services</t>
  </si>
  <si>
    <t>Health and Human</t>
  </si>
  <si>
    <t>Off Road Vehicle Equipment</t>
  </si>
  <si>
    <t>Environmental</t>
  </si>
  <si>
    <t>New Department</t>
  </si>
  <si>
    <t>Board of Elections</t>
  </si>
  <si>
    <t>Circuit Court</t>
  </si>
  <si>
    <t>Community Engagement Cluster</t>
  </si>
  <si>
    <t>Community Use of Public Facilities</t>
  </si>
  <si>
    <t>Consumer Protection</t>
  </si>
  <si>
    <t>Correction and Rehabilitation</t>
  </si>
  <si>
    <t>County Executives Office</t>
  </si>
  <si>
    <t>Economic Development</t>
  </si>
  <si>
    <t>Environmental Protection</t>
  </si>
  <si>
    <t xml:space="preserve">Finance </t>
  </si>
  <si>
    <t>Fire and Rescue</t>
  </si>
  <si>
    <t>General Services</t>
  </si>
  <si>
    <t>Health and Human Services</t>
  </si>
  <si>
    <t>Department2</t>
  </si>
  <si>
    <t>SUM</t>
  </si>
  <si>
    <t>AVERAGE</t>
  </si>
  <si>
    <t>MIN</t>
  </si>
  <si>
    <t>MAX</t>
  </si>
  <si>
    <t>COUNT</t>
  </si>
  <si>
    <t>Sum of Equipment Count</t>
  </si>
  <si>
    <t>#DEPARTMENT</t>
  </si>
  <si>
    <t>#EQUIPMENT</t>
  </si>
  <si>
    <t>Off Road VehicleEquipment</t>
  </si>
  <si>
    <t>Pick Up  Trucks</t>
  </si>
  <si>
    <t>Rehabilltation</t>
  </si>
  <si>
    <t>Public  Safety Sedan</t>
  </si>
  <si>
    <t>Public  Safety SUV</t>
  </si>
  <si>
    <t>Enviromnental</t>
  </si>
  <si>
    <t>Recsue</t>
  </si>
  <si>
    <t>Servcies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</si>
</sst>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22577A"/>
      <color rgb="FFC7F9CC"/>
      <color rgb="FF57CC99"/>
      <color rgb="FF38A3A5"/>
      <color rgb="FF4F772D"/>
      <color rgb="FF90A955"/>
      <color rgb="FFECF39E"/>
      <color rgb="FF132A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[Montgomery_Fleet_Equipment_Inventory_FA_PART_2_END.XLSX]Sheet1!PivotTable5</c:name>
    <c:fmtId val="17"/>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GB" sz="1200" b="0" i="0" baseline="0">
                <a:effectLst/>
              </a:rPr>
              <a:t>% Of Equipment Count By Departments</a:t>
            </a:r>
            <a:endParaRPr lang="en-GB" sz="105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4680000" spcFirstLastPara="1" vertOverflow="ellipsis" wrap="square" lIns="38100" tIns="19050" rIns="38100" bIns="19050" anchor="ctr" anchorCtr="0">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4680000" spcFirstLastPara="1" vertOverflow="ellipsis" wrap="square" lIns="38100" tIns="19050" rIns="38100" bIns="19050" anchor="ctr" anchorCtr="0">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Sheet1!$A$4:$A$15</c:f>
              <c:strCache>
                <c:ptCount val="12"/>
                <c:pt idx="0">
                  <c:v>Community Use of Public Facilities</c:v>
                </c:pt>
                <c:pt idx="1">
                  <c:v>Economic Development</c:v>
                </c:pt>
                <c:pt idx="2">
                  <c:v>Consumer Protection</c:v>
                </c:pt>
                <c:pt idx="3">
                  <c:v>Circuit Court</c:v>
                </c:pt>
                <c:pt idx="4">
                  <c:v>Board of Elections</c:v>
                </c:pt>
                <c:pt idx="5">
                  <c:v>County Executives Office</c:v>
                </c:pt>
                <c:pt idx="6">
                  <c:v>Community Engagement Cluster</c:v>
                </c:pt>
                <c:pt idx="7">
                  <c:v>Correction and Rehabilitation</c:v>
                </c:pt>
                <c:pt idx="8">
                  <c:v>Environmental Protection</c:v>
                </c:pt>
                <c:pt idx="9">
                  <c:v>Health and Human Services</c:v>
                </c:pt>
                <c:pt idx="10">
                  <c:v>Fire and Rescue</c:v>
                </c:pt>
                <c:pt idx="11">
                  <c:v>General Services</c:v>
                </c:pt>
              </c:strCache>
            </c:strRef>
          </c:cat>
          <c:val>
            <c:numRef>
              <c:f>Sheet1!$B$4:$B$15</c:f>
              <c:numCache>
                <c:formatCode>0.00%</c:formatCode>
                <c:ptCount val="12"/>
                <c:pt idx="0">
                  <c:v>1.937984496124031E-3</c:v>
                </c:pt>
                <c:pt idx="1">
                  <c:v>1.937984496124031E-3</c:v>
                </c:pt>
                <c:pt idx="2">
                  <c:v>1.937984496124031E-3</c:v>
                </c:pt>
                <c:pt idx="3">
                  <c:v>1.937984496124031E-3</c:v>
                </c:pt>
                <c:pt idx="4">
                  <c:v>5.8139534883720929E-3</c:v>
                </c:pt>
                <c:pt idx="5">
                  <c:v>9.6899224806201549E-3</c:v>
                </c:pt>
                <c:pt idx="6">
                  <c:v>3.294573643410853E-2</c:v>
                </c:pt>
                <c:pt idx="7">
                  <c:v>5.4263565891472867E-2</c:v>
                </c:pt>
                <c:pt idx="8">
                  <c:v>0.1375968992248062</c:v>
                </c:pt>
                <c:pt idx="9">
                  <c:v>0.17635658914728683</c:v>
                </c:pt>
                <c:pt idx="10">
                  <c:v>0.19379844961240311</c:v>
                </c:pt>
                <c:pt idx="11">
                  <c:v>0.38178294573643412</c:v>
                </c:pt>
              </c:numCache>
            </c:numRef>
          </c:val>
          <c:extLst>
            <c:ext xmlns:c16="http://schemas.microsoft.com/office/drawing/2014/chart" uri="{C3380CC4-5D6E-409C-BE32-E72D297353CC}">
              <c16:uniqueId val="{00000000-E916-43D6-8E3D-3B99C0847CA9}"/>
            </c:ext>
          </c:extLst>
        </c:ser>
        <c:dLbls>
          <c:showLegendKey val="0"/>
          <c:showVal val="1"/>
          <c:showCatName val="0"/>
          <c:showSerName val="0"/>
          <c:showPercent val="0"/>
          <c:showBubbleSize val="0"/>
        </c:dLbls>
        <c:gapWidth val="219"/>
        <c:overlap val="-27"/>
        <c:axId val="1889698655"/>
        <c:axId val="1889703647"/>
      </c:barChart>
      <c:catAx>
        <c:axId val="188969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ln>
                  <a:noFill/>
                </a:ln>
                <a:solidFill>
                  <a:schemeClr val="tx1">
                    <a:lumMod val="65000"/>
                    <a:lumOff val="35000"/>
                  </a:schemeClr>
                </a:solidFill>
                <a:effectLst>
                  <a:glow>
                    <a:schemeClr val="accent1">
                      <a:alpha val="40000"/>
                    </a:schemeClr>
                  </a:glow>
                </a:effectLst>
                <a:latin typeface="+mn-lt"/>
                <a:ea typeface="+mn-ea"/>
                <a:cs typeface="+mn-cs"/>
              </a:defRPr>
            </a:pPr>
            <a:endParaRPr lang="en-US"/>
          </a:p>
        </c:txPr>
        <c:crossAx val="1889703647"/>
        <c:crosses val="autoZero"/>
        <c:auto val="1"/>
        <c:lblAlgn val="ctr"/>
        <c:lblOffset val="100"/>
        <c:noMultiLvlLbl val="0"/>
      </c:catAx>
      <c:valAx>
        <c:axId val="1889703647"/>
        <c:scaling>
          <c:orientation val="minMax"/>
        </c:scaling>
        <c:delete val="1"/>
        <c:axPos val="l"/>
        <c:numFmt formatCode="0.00%" sourceLinked="1"/>
        <c:majorTickMark val="none"/>
        <c:minorTickMark val="none"/>
        <c:tickLblPos val="nextTo"/>
        <c:crossAx val="188969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5400000" vert="horz"/>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Equipment Counts By Departments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25766711593483E-2"/>
          <c:y val="0.30139336816778323"/>
          <c:w val="0.87222624199002152"/>
          <c:h val="0.30063301682000959"/>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Sheet2!$A$4:$A$15</c:f>
              <c:strCache>
                <c:ptCount val="12"/>
                <c:pt idx="0">
                  <c:v>Community Use of Public Facilities</c:v>
                </c:pt>
                <c:pt idx="1">
                  <c:v>Economic Development</c:v>
                </c:pt>
                <c:pt idx="2">
                  <c:v>Consumer Protection</c:v>
                </c:pt>
                <c:pt idx="3">
                  <c:v>Circuit Court</c:v>
                </c:pt>
                <c:pt idx="4">
                  <c:v>Board of Elections</c:v>
                </c:pt>
                <c:pt idx="5">
                  <c:v>County Executives Office</c:v>
                </c:pt>
                <c:pt idx="6">
                  <c:v>Community Engagement Cluster</c:v>
                </c:pt>
                <c:pt idx="7">
                  <c:v>Correction and Rehabilitation</c:v>
                </c:pt>
                <c:pt idx="8">
                  <c:v>Environmental Protection</c:v>
                </c:pt>
                <c:pt idx="9">
                  <c:v>Health and Human Services</c:v>
                </c:pt>
                <c:pt idx="10">
                  <c:v>Fire and Rescue</c:v>
                </c:pt>
                <c:pt idx="11">
                  <c:v>General Services</c:v>
                </c:pt>
              </c:strCache>
            </c:strRef>
          </c:cat>
          <c:val>
            <c:numRef>
              <c:f>Sheet2!$B$4:$B$15</c:f>
              <c:numCache>
                <c:formatCode>General</c:formatCode>
                <c:ptCount val="12"/>
                <c:pt idx="0">
                  <c:v>1</c:v>
                </c:pt>
                <c:pt idx="1">
                  <c:v>1</c:v>
                </c:pt>
                <c:pt idx="2">
                  <c:v>1</c:v>
                </c:pt>
                <c:pt idx="3">
                  <c:v>1</c:v>
                </c:pt>
                <c:pt idx="4">
                  <c:v>3</c:v>
                </c:pt>
                <c:pt idx="5">
                  <c:v>5</c:v>
                </c:pt>
                <c:pt idx="6">
                  <c:v>17</c:v>
                </c:pt>
                <c:pt idx="7">
                  <c:v>28</c:v>
                </c:pt>
                <c:pt idx="8">
                  <c:v>71</c:v>
                </c:pt>
                <c:pt idx="9">
                  <c:v>91</c:v>
                </c:pt>
                <c:pt idx="10">
                  <c:v>100</c:v>
                </c:pt>
                <c:pt idx="11">
                  <c:v>197</c:v>
                </c:pt>
              </c:numCache>
            </c:numRef>
          </c:val>
          <c:extLst>
            <c:ext xmlns:c16="http://schemas.microsoft.com/office/drawing/2014/chart" uri="{C3380CC4-5D6E-409C-BE32-E72D297353CC}">
              <c16:uniqueId val="{00000000-7D14-4EB5-9E19-B6BA5685CF93}"/>
            </c:ext>
          </c:extLst>
        </c:ser>
        <c:dLbls>
          <c:showLegendKey val="0"/>
          <c:showVal val="1"/>
          <c:showCatName val="0"/>
          <c:showSerName val="0"/>
          <c:showPercent val="0"/>
          <c:showBubbleSize val="0"/>
        </c:dLbls>
        <c:gapWidth val="150"/>
        <c:overlap val="-25"/>
        <c:axId val="360061944"/>
        <c:axId val="360058416"/>
      </c:barChart>
      <c:catAx>
        <c:axId val="360061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Departments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58416"/>
        <c:crosses val="autoZero"/>
        <c:auto val="1"/>
        <c:lblAlgn val="ctr"/>
        <c:lblOffset val="100"/>
        <c:noMultiLvlLbl val="0"/>
      </c:catAx>
      <c:valAx>
        <c:axId val="360058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Sum of Equipment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6006194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Sheet3!$A$4:$A$17</c:f>
              <c:strCache>
                <c:ptCount val="14"/>
                <c:pt idx="0">
                  <c:v>Transit Bus</c:v>
                </c:pt>
                <c:pt idx="1">
                  <c:v>Public Safety Heavy Duty</c:v>
                </c:pt>
                <c:pt idx="2">
                  <c:v>Medium Duty</c:v>
                </c:pt>
                <c:pt idx="3">
                  <c:v>Public Safety CUV</c:v>
                </c:pt>
                <c:pt idx="4">
                  <c:v>Heavy Duty</c:v>
                </c:pt>
                <c:pt idx="5">
                  <c:v>Public Safety Pick Up Trucks</c:v>
                </c:pt>
                <c:pt idx="6">
                  <c:v>Public Safety Van</c:v>
                </c:pt>
                <c:pt idx="7">
                  <c:v>Public Safety Sedan</c:v>
                </c:pt>
                <c:pt idx="8">
                  <c:v>Public Safety SUV</c:v>
                </c:pt>
                <c:pt idx="9">
                  <c:v>SUV</c:v>
                </c:pt>
                <c:pt idx="10">
                  <c:v>Off Road Vehicle Equipment</c:v>
                </c:pt>
                <c:pt idx="11">
                  <c:v>Pick Up Trucks</c:v>
                </c:pt>
                <c:pt idx="12">
                  <c:v>Van</c:v>
                </c:pt>
                <c:pt idx="13">
                  <c:v>Sedan</c:v>
                </c:pt>
              </c:strCache>
            </c:strRef>
          </c:cat>
          <c:val>
            <c:numRef>
              <c:f>Sheet3!$B$4:$B$17</c:f>
              <c:numCache>
                <c:formatCode>General</c:formatCode>
                <c:ptCount val="14"/>
                <c:pt idx="0">
                  <c:v>1</c:v>
                </c:pt>
                <c:pt idx="1">
                  <c:v>2</c:v>
                </c:pt>
                <c:pt idx="2">
                  <c:v>3</c:v>
                </c:pt>
                <c:pt idx="3">
                  <c:v>4</c:v>
                </c:pt>
                <c:pt idx="4">
                  <c:v>6</c:v>
                </c:pt>
                <c:pt idx="5">
                  <c:v>12</c:v>
                </c:pt>
                <c:pt idx="6">
                  <c:v>12</c:v>
                </c:pt>
                <c:pt idx="7">
                  <c:v>19</c:v>
                </c:pt>
                <c:pt idx="8">
                  <c:v>33</c:v>
                </c:pt>
                <c:pt idx="9">
                  <c:v>34</c:v>
                </c:pt>
                <c:pt idx="10">
                  <c:v>59</c:v>
                </c:pt>
                <c:pt idx="11">
                  <c:v>69</c:v>
                </c:pt>
                <c:pt idx="12">
                  <c:v>70</c:v>
                </c:pt>
                <c:pt idx="13">
                  <c:v>124</c:v>
                </c:pt>
              </c:numCache>
            </c:numRef>
          </c:val>
          <c:extLst>
            <c:ext xmlns:c16="http://schemas.microsoft.com/office/drawing/2014/chart" uri="{C3380CC4-5D6E-409C-BE32-E72D297353CC}">
              <c16:uniqueId val="{00000000-CF99-468A-9733-CB6EE6BF449C}"/>
            </c:ext>
          </c:extLst>
        </c:ser>
        <c:dLbls>
          <c:showLegendKey val="0"/>
          <c:showVal val="0"/>
          <c:showCatName val="0"/>
          <c:showSerName val="0"/>
          <c:showPercent val="0"/>
          <c:showBubbleSize val="0"/>
        </c:dLbls>
        <c:gapWidth val="219"/>
        <c:overlap val="-27"/>
        <c:axId val="360063512"/>
        <c:axId val="360058808"/>
      </c:barChart>
      <c:catAx>
        <c:axId val="360063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58808"/>
        <c:crosses val="autoZero"/>
        <c:auto val="1"/>
        <c:lblAlgn val="ctr"/>
        <c:lblOffset val="100"/>
        <c:noMultiLvlLbl val="0"/>
      </c:catAx>
      <c:valAx>
        <c:axId val="360058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63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[Montgomery_Fleet_Equipment_Inventory_FA_PART_2_END.XLSX]Sheet3!PivotTable7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Equipment</a:t>
            </a:r>
            <a:r>
              <a:rPr lang="en-US" baseline="0"/>
              <a:t> Count By Class</a:t>
            </a:r>
            <a:endParaRPr lang="en-US"/>
          </a:p>
        </c:rich>
      </c:tx>
      <c:layout>
        <c:manualLayout>
          <c:xMode val="edge"/>
          <c:yMode val="edge"/>
          <c:x val="0.24748865006739026"/>
          <c:y val="2.3847400313408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Sheet3!$A$4:$A$17</c:f>
              <c:strCache>
                <c:ptCount val="14"/>
                <c:pt idx="0">
                  <c:v>Transit Bus</c:v>
                </c:pt>
                <c:pt idx="1">
                  <c:v>Public Safety Heavy Duty</c:v>
                </c:pt>
                <c:pt idx="2">
                  <c:v>Medium Duty</c:v>
                </c:pt>
                <c:pt idx="3">
                  <c:v>Public Safety CUV</c:v>
                </c:pt>
                <c:pt idx="4">
                  <c:v>Heavy Duty</c:v>
                </c:pt>
                <c:pt idx="5">
                  <c:v>Public Safety Pick Up Trucks</c:v>
                </c:pt>
                <c:pt idx="6">
                  <c:v>Public Safety Van</c:v>
                </c:pt>
                <c:pt idx="7">
                  <c:v>Public Safety Sedan</c:v>
                </c:pt>
                <c:pt idx="8">
                  <c:v>Public Safety SUV</c:v>
                </c:pt>
                <c:pt idx="9">
                  <c:v>SUV</c:v>
                </c:pt>
                <c:pt idx="10">
                  <c:v>Off Road Vehicle Equipment</c:v>
                </c:pt>
                <c:pt idx="11">
                  <c:v>Pick Up Trucks</c:v>
                </c:pt>
                <c:pt idx="12">
                  <c:v>Van</c:v>
                </c:pt>
                <c:pt idx="13">
                  <c:v>Sedan</c:v>
                </c:pt>
              </c:strCache>
            </c:strRef>
          </c:cat>
          <c:val>
            <c:numRef>
              <c:f>Sheet3!$B$4:$B$17</c:f>
              <c:numCache>
                <c:formatCode>General</c:formatCode>
                <c:ptCount val="14"/>
                <c:pt idx="0">
                  <c:v>1</c:v>
                </c:pt>
                <c:pt idx="1">
                  <c:v>2</c:v>
                </c:pt>
                <c:pt idx="2">
                  <c:v>3</c:v>
                </c:pt>
                <c:pt idx="3">
                  <c:v>4</c:v>
                </c:pt>
                <c:pt idx="4">
                  <c:v>6</c:v>
                </c:pt>
                <c:pt idx="5">
                  <c:v>12</c:v>
                </c:pt>
                <c:pt idx="6">
                  <c:v>12</c:v>
                </c:pt>
                <c:pt idx="7">
                  <c:v>19</c:v>
                </c:pt>
                <c:pt idx="8">
                  <c:v>33</c:v>
                </c:pt>
                <c:pt idx="9">
                  <c:v>34</c:v>
                </c:pt>
                <c:pt idx="10">
                  <c:v>59</c:v>
                </c:pt>
                <c:pt idx="11">
                  <c:v>69</c:v>
                </c:pt>
                <c:pt idx="12">
                  <c:v>70</c:v>
                </c:pt>
                <c:pt idx="13">
                  <c:v>124</c:v>
                </c:pt>
              </c:numCache>
            </c:numRef>
          </c:val>
          <c:extLst>
            <c:ext xmlns:c16="http://schemas.microsoft.com/office/drawing/2014/chart" uri="{C3380CC4-5D6E-409C-BE32-E72D297353CC}">
              <c16:uniqueId val="{00000000-3E04-4CB0-8C90-2099CFD0B591}"/>
            </c:ext>
          </c:extLst>
        </c:ser>
        <c:dLbls>
          <c:dLblPos val="outEnd"/>
          <c:showLegendKey val="0"/>
          <c:showVal val="1"/>
          <c:showCatName val="0"/>
          <c:showSerName val="0"/>
          <c:showPercent val="0"/>
          <c:showBubbleSize val="0"/>
        </c:dLbls>
        <c:gapWidth val="182"/>
        <c:axId val="1794560751"/>
        <c:axId val="1794561167"/>
      </c:barChart>
      <c:catAx>
        <c:axId val="1794560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Equiipment</a:t>
                </a:r>
                <a:r>
                  <a:rPr lang="en-GB" baseline="0"/>
                  <a:t> Class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94561167"/>
        <c:crosses val="autoZero"/>
        <c:auto val="1"/>
        <c:lblAlgn val="ctr"/>
        <c:lblOffset val="100"/>
        <c:noMultiLvlLbl val="0"/>
      </c:catAx>
      <c:valAx>
        <c:axId val="1794561167"/>
        <c:scaling>
          <c:orientation val="minMax"/>
        </c:scaling>
        <c:delete val="1"/>
        <c:axPos val="b"/>
        <c:numFmt formatCode="General" sourceLinked="1"/>
        <c:majorTickMark val="none"/>
        <c:minorTickMark val="none"/>
        <c:tickLblPos val="nextTo"/>
        <c:crossAx val="179456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[Montgomery_Fleet_Equipment_Inventory_FA_PART_2_END.XLSX]Sheet1!PivotTable5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772D"/>
          </a:solidFill>
          <a:ln>
            <a:noFill/>
          </a:ln>
          <a:effectLst/>
        </c:spPr>
      </c:pivotFmt>
      <c:pivotFmt>
        <c:idx val="3"/>
        <c:spPr>
          <a:solidFill>
            <a:srgbClr val="92D050"/>
          </a:solidFill>
          <a:ln>
            <a:noFill/>
          </a:ln>
          <a:effectLst/>
        </c:spPr>
      </c:pivotFmt>
      <c:pivotFmt>
        <c:idx val="4"/>
        <c:spPr>
          <a:solidFill>
            <a:srgbClr val="92D050"/>
          </a:solidFill>
          <a:ln>
            <a:noFill/>
          </a:ln>
          <a:effectLst/>
        </c:spPr>
      </c:pivotFmt>
      <c:pivotFmt>
        <c:idx val="5"/>
        <c:spPr>
          <a:solidFill>
            <a:srgbClr val="92D050"/>
          </a:solidFill>
          <a:ln>
            <a:noFill/>
          </a:ln>
          <a:effectLst/>
        </c:spPr>
      </c:pivotFmt>
      <c:pivotFmt>
        <c:idx val="6"/>
        <c:spPr>
          <a:solidFill>
            <a:srgbClr val="92D050"/>
          </a:solidFill>
          <a:ln>
            <a:noFill/>
          </a:ln>
          <a:effectLst/>
        </c:spPr>
      </c:pivotFmt>
      <c:pivotFmt>
        <c:idx val="7"/>
        <c:spPr>
          <a:solidFill>
            <a:srgbClr val="92D050"/>
          </a:solidFill>
          <a:ln>
            <a:noFill/>
          </a:ln>
          <a:effectLst/>
        </c:spPr>
      </c:pivotFmt>
      <c:pivotFmt>
        <c:idx val="8"/>
        <c:spPr>
          <a:solidFill>
            <a:srgbClr val="92D050"/>
          </a:solidFill>
          <a:ln>
            <a:noFill/>
          </a:ln>
          <a:effectLst/>
        </c:spPr>
      </c:pivotFmt>
    </c:pivotFmts>
    <c:plotArea>
      <c:layout/>
      <c:barChart>
        <c:barDir val="bar"/>
        <c:grouping val="clustered"/>
        <c:varyColors val="0"/>
        <c:ser>
          <c:idx val="0"/>
          <c:order val="0"/>
          <c:tx>
            <c:strRef>
              <c:f>Sheet1!$B$3</c:f>
              <c:strCache>
                <c:ptCount val="1"/>
                <c:pt idx="0">
                  <c:v>Total</c:v>
                </c:pt>
              </c:strCache>
            </c:strRef>
          </c:tx>
          <c:spPr>
            <a:solidFill>
              <a:srgbClr val="92D050"/>
            </a:solidFill>
            <a:ln>
              <a:noFill/>
            </a:ln>
            <a:effectLst/>
          </c:spPr>
          <c:invertIfNegative val="0"/>
          <c:dPt>
            <c:idx val="11"/>
            <c:invertIfNegative val="0"/>
            <c:bubble3D val="0"/>
            <c:spPr>
              <a:solidFill>
                <a:srgbClr val="4F772D"/>
              </a:solidFill>
              <a:ln>
                <a:noFill/>
              </a:ln>
              <a:effectLst/>
            </c:spPr>
            <c:extLst>
              <c:ext xmlns:c16="http://schemas.microsoft.com/office/drawing/2014/chart" uri="{C3380CC4-5D6E-409C-BE32-E72D297353CC}">
                <c16:uniqueId val="{00000001-0F08-41C9-B5B4-C7465E9FCA75}"/>
              </c:ext>
            </c:extLst>
          </c:dPt>
          <c:dPt>
            <c:idx val="12"/>
            <c:invertIfNegative val="0"/>
            <c:bubble3D val="0"/>
            <c:extLst>
              <c:ext xmlns:c16="http://schemas.microsoft.com/office/drawing/2014/chart" uri="{C3380CC4-5D6E-409C-BE32-E72D297353CC}">
                <c16:uniqueId val="{00000001-12A8-43B4-B251-0A59E4B92F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Sheet1!$A$4:$A$15</c:f>
              <c:strCache>
                <c:ptCount val="12"/>
                <c:pt idx="0">
                  <c:v>Community Use of Public Facilities</c:v>
                </c:pt>
                <c:pt idx="1">
                  <c:v>Economic Development</c:v>
                </c:pt>
                <c:pt idx="2">
                  <c:v>Consumer Protection</c:v>
                </c:pt>
                <c:pt idx="3">
                  <c:v>Circuit Court</c:v>
                </c:pt>
                <c:pt idx="4">
                  <c:v>Board of Elections</c:v>
                </c:pt>
                <c:pt idx="5">
                  <c:v>County Executives Office</c:v>
                </c:pt>
                <c:pt idx="6">
                  <c:v>Community Engagement Cluster</c:v>
                </c:pt>
                <c:pt idx="7">
                  <c:v>Correction and Rehabilitation</c:v>
                </c:pt>
                <c:pt idx="8">
                  <c:v>Environmental Protection</c:v>
                </c:pt>
                <c:pt idx="9">
                  <c:v>Health and Human Services</c:v>
                </c:pt>
                <c:pt idx="10">
                  <c:v>Fire and Rescue</c:v>
                </c:pt>
                <c:pt idx="11">
                  <c:v>General Services</c:v>
                </c:pt>
              </c:strCache>
            </c:strRef>
          </c:cat>
          <c:val>
            <c:numRef>
              <c:f>Sheet1!$B$4:$B$15</c:f>
              <c:numCache>
                <c:formatCode>0.00%</c:formatCode>
                <c:ptCount val="12"/>
                <c:pt idx="0">
                  <c:v>1.937984496124031E-3</c:v>
                </c:pt>
                <c:pt idx="1">
                  <c:v>1.937984496124031E-3</c:v>
                </c:pt>
                <c:pt idx="2">
                  <c:v>1.937984496124031E-3</c:v>
                </c:pt>
                <c:pt idx="3">
                  <c:v>1.937984496124031E-3</c:v>
                </c:pt>
                <c:pt idx="4">
                  <c:v>5.8139534883720929E-3</c:v>
                </c:pt>
                <c:pt idx="5">
                  <c:v>9.6899224806201549E-3</c:v>
                </c:pt>
                <c:pt idx="6">
                  <c:v>3.294573643410853E-2</c:v>
                </c:pt>
                <c:pt idx="7">
                  <c:v>5.4263565891472867E-2</c:v>
                </c:pt>
                <c:pt idx="8">
                  <c:v>0.1375968992248062</c:v>
                </c:pt>
                <c:pt idx="9">
                  <c:v>0.17635658914728683</c:v>
                </c:pt>
                <c:pt idx="10">
                  <c:v>0.19379844961240311</c:v>
                </c:pt>
                <c:pt idx="11">
                  <c:v>0.38178294573643412</c:v>
                </c:pt>
              </c:numCache>
            </c:numRef>
          </c:val>
          <c:extLst>
            <c:ext xmlns:c16="http://schemas.microsoft.com/office/drawing/2014/chart" uri="{C3380CC4-5D6E-409C-BE32-E72D297353CC}">
              <c16:uniqueId val="{00000002-12A8-43B4-B251-0A59E4B92FAF}"/>
            </c:ext>
          </c:extLst>
        </c:ser>
        <c:dLbls>
          <c:showLegendKey val="0"/>
          <c:showVal val="1"/>
          <c:showCatName val="0"/>
          <c:showSerName val="0"/>
          <c:showPercent val="0"/>
          <c:showBubbleSize val="0"/>
        </c:dLbls>
        <c:gapWidth val="93"/>
        <c:axId val="358021512"/>
        <c:axId val="358022296"/>
      </c:barChart>
      <c:catAx>
        <c:axId val="358021512"/>
        <c:scaling>
          <c:orientation val="minMax"/>
        </c:scaling>
        <c:delete val="1"/>
        <c:axPos val="l"/>
        <c:numFmt formatCode="General" sourceLinked="1"/>
        <c:majorTickMark val="none"/>
        <c:minorTickMark val="none"/>
        <c:tickLblPos val="nextTo"/>
        <c:crossAx val="358022296"/>
        <c:crosses val="autoZero"/>
        <c:auto val="1"/>
        <c:lblAlgn val="ctr"/>
        <c:lblOffset val="100"/>
        <c:noMultiLvlLbl val="0"/>
      </c:catAx>
      <c:valAx>
        <c:axId val="358022296"/>
        <c:scaling>
          <c:orientation val="minMax"/>
        </c:scaling>
        <c:delete val="1"/>
        <c:axPos val="b"/>
        <c:numFmt formatCode="0.00%" sourceLinked="1"/>
        <c:majorTickMark val="none"/>
        <c:minorTickMark val="none"/>
        <c:tickLblPos val="nextTo"/>
        <c:crossAx val="358021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[Montgomery_Fleet_Equipment_Inventory_FA_PART_2_END.XLSX]Sheet2!PivotTable6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Equipment Counts By Departments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74044733870792E-2"/>
          <c:y val="0.13357734944654534"/>
          <c:w val="0.95036067291235393"/>
          <c:h val="0.3721847232809376"/>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Sheet2!$A$4:$A$15</c:f>
              <c:strCache>
                <c:ptCount val="12"/>
                <c:pt idx="0">
                  <c:v>Community Use of Public Facilities</c:v>
                </c:pt>
                <c:pt idx="1">
                  <c:v>Economic Development</c:v>
                </c:pt>
                <c:pt idx="2">
                  <c:v>Consumer Protection</c:v>
                </c:pt>
                <c:pt idx="3">
                  <c:v>Circuit Court</c:v>
                </c:pt>
                <c:pt idx="4">
                  <c:v>Board of Elections</c:v>
                </c:pt>
                <c:pt idx="5">
                  <c:v>County Executives Office</c:v>
                </c:pt>
                <c:pt idx="6">
                  <c:v>Community Engagement Cluster</c:v>
                </c:pt>
                <c:pt idx="7">
                  <c:v>Correction and Rehabilitation</c:v>
                </c:pt>
                <c:pt idx="8">
                  <c:v>Environmental Protection</c:v>
                </c:pt>
                <c:pt idx="9">
                  <c:v>Health and Human Services</c:v>
                </c:pt>
                <c:pt idx="10">
                  <c:v>Fire and Rescue</c:v>
                </c:pt>
                <c:pt idx="11">
                  <c:v>General Services</c:v>
                </c:pt>
              </c:strCache>
            </c:strRef>
          </c:cat>
          <c:val>
            <c:numRef>
              <c:f>Sheet2!$B$4:$B$15</c:f>
              <c:numCache>
                <c:formatCode>General</c:formatCode>
                <c:ptCount val="12"/>
                <c:pt idx="0">
                  <c:v>1</c:v>
                </c:pt>
                <c:pt idx="1">
                  <c:v>1</c:v>
                </c:pt>
                <c:pt idx="2">
                  <c:v>1</c:v>
                </c:pt>
                <c:pt idx="3">
                  <c:v>1</c:v>
                </c:pt>
                <c:pt idx="4">
                  <c:v>3</c:v>
                </c:pt>
                <c:pt idx="5">
                  <c:v>5</c:v>
                </c:pt>
                <c:pt idx="6">
                  <c:v>17</c:v>
                </c:pt>
                <c:pt idx="7">
                  <c:v>28</c:v>
                </c:pt>
                <c:pt idx="8">
                  <c:v>71</c:v>
                </c:pt>
                <c:pt idx="9">
                  <c:v>91</c:v>
                </c:pt>
                <c:pt idx="10">
                  <c:v>100</c:v>
                </c:pt>
                <c:pt idx="11">
                  <c:v>197</c:v>
                </c:pt>
              </c:numCache>
            </c:numRef>
          </c:val>
          <c:extLst>
            <c:ext xmlns:c16="http://schemas.microsoft.com/office/drawing/2014/chart" uri="{C3380CC4-5D6E-409C-BE32-E72D297353CC}">
              <c16:uniqueId val="{00000000-7C19-43C6-8A3E-98EE129BBBF9}"/>
            </c:ext>
          </c:extLst>
        </c:ser>
        <c:dLbls>
          <c:showLegendKey val="0"/>
          <c:showVal val="1"/>
          <c:showCatName val="0"/>
          <c:showSerName val="0"/>
          <c:showPercent val="0"/>
          <c:showBubbleSize val="0"/>
        </c:dLbls>
        <c:gapWidth val="150"/>
        <c:overlap val="-25"/>
        <c:axId val="360061944"/>
        <c:axId val="360058416"/>
      </c:barChart>
      <c:catAx>
        <c:axId val="360061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58416"/>
        <c:crosses val="autoZero"/>
        <c:auto val="1"/>
        <c:lblAlgn val="ctr"/>
        <c:lblOffset val="100"/>
        <c:noMultiLvlLbl val="0"/>
      </c:catAx>
      <c:valAx>
        <c:axId val="360058416"/>
        <c:scaling>
          <c:orientation val="minMax"/>
        </c:scaling>
        <c:delete val="1"/>
        <c:axPos val="l"/>
        <c:numFmt formatCode="General" sourceLinked="1"/>
        <c:majorTickMark val="none"/>
        <c:minorTickMark val="none"/>
        <c:tickLblPos val="nextTo"/>
        <c:crossAx val="36006194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[Montgomery_Fleet_Equipment_Inventory_FA_PART_2_END.XLSX]Sheet1!PivotTable5</c:name>
    <c:fmtId val="2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GB" sz="1200" b="0" i="0" baseline="0">
                <a:effectLst/>
              </a:rPr>
              <a:t>% Of Equipment Count By Departments</a:t>
            </a:r>
            <a:endParaRPr lang="en-GB" sz="1050">
              <a:effectLst/>
            </a:endParaRPr>
          </a:p>
        </c:rich>
      </c:tx>
      <c:layout>
        <c:manualLayout>
          <c:xMode val="edge"/>
          <c:yMode val="edge"/>
          <c:x val="0.19280750012526149"/>
          <c:y val="8.7371439800361401E-3"/>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4620000" spcFirstLastPara="1" vertOverflow="ellipsis"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9653231099482"/>
          <c:y val="0.10849411354702637"/>
          <c:w val="0.8710073152024711"/>
          <c:h val="0.43277857024857602"/>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4620000" spcFirstLastPara="1" vertOverflow="ellipsis"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Sheet1!$A$4:$A$15</c:f>
              <c:strCache>
                <c:ptCount val="12"/>
                <c:pt idx="0">
                  <c:v>Community Use of Public Facilities</c:v>
                </c:pt>
                <c:pt idx="1">
                  <c:v>Economic Development</c:v>
                </c:pt>
                <c:pt idx="2">
                  <c:v>Consumer Protection</c:v>
                </c:pt>
                <c:pt idx="3">
                  <c:v>Circuit Court</c:v>
                </c:pt>
                <c:pt idx="4">
                  <c:v>Board of Elections</c:v>
                </c:pt>
                <c:pt idx="5">
                  <c:v>County Executives Office</c:v>
                </c:pt>
                <c:pt idx="6">
                  <c:v>Community Engagement Cluster</c:v>
                </c:pt>
                <c:pt idx="7">
                  <c:v>Correction and Rehabilitation</c:v>
                </c:pt>
                <c:pt idx="8">
                  <c:v>Environmental Protection</c:v>
                </c:pt>
                <c:pt idx="9">
                  <c:v>Health and Human Services</c:v>
                </c:pt>
                <c:pt idx="10">
                  <c:v>Fire and Rescue</c:v>
                </c:pt>
                <c:pt idx="11">
                  <c:v>General Services</c:v>
                </c:pt>
              </c:strCache>
            </c:strRef>
          </c:cat>
          <c:val>
            <c:numRef>
              <c:f>Sheet1!$B$4:$B$15</c:f>
              <c:numCache>
                <c:formatCode>0.00%</c:formatCode>
                <c:ptCount val="12"/>
                <c:pt idx="0">
                  <c:v>1.937984496124031E-3</c:v>
                </c:pt>
                <c:pt idx="1">
                  <c:v>1.937984496124031E-3</c:v>
                </c:pt>
                <c:pt idx="2">
                  <c:v>1.937984496124031E-3</c:v>
                </c:pt>
                <c:pt idx="3">
                  <c:v>1.937984496124031E-3</c:v>
                </c:pt>
                <c:pt idx="4">
                  <c:v>5.8139534883720929E-3</c:v>
                </c:pt>
                <c:pt idx="5">
                  <c:v>9.6899224806201549E-3</c:v>
                </c:pt>
                <c:pt idx="6">
                  <c:v>3.294573643410853E-2</c:v>
                </c:pt>
                <c:pt idx="7">
                  <c:v>5.4263565891472867E-2</c:v>
                </c:pt>
                <c:pt idx="8">
                  <c:v>0.1375968992248062</c:v>
                </c:pt>
                <c:pt idx="9">
                  <c:v>0.17635658914728683</c:v>
                </c:pt>
                <c:pt idx="10">
                  <c:v>0.19379844961240311</c:v>
                </c:pt>
                <c:pt idx="11">
                  <c:v>0.38178294573643412</c:v>
                </c:pt>
              </c:numCache>
            </c:numRef>
          </c:val>
          <c:extLst>
            <c:ext xmlns:c16="http://schemas.microsoft.com/office/drawing/2014/chart" uri="{C3380CC4-5D6E-409C-BE32-E72D297353CC}">
              <c16:uniqueId val="{00000000-AC0D-412E-A82C-8CB310C769B7}"/>
            </c:ext>
          </c:extLst>
        </c:ser>
        <c:dLbls>
          <c:dLblPos val="outEnd"/>
          <c:showLegendKey val="0"/>
          <c:showVal val="1"/>
          <c:showCatName val="0"/>
          <c:showSerName val="0"/>
          <c:showPercent val="0"/>
          <c:showBubbleSize val="0"/>
        </c:dLbls>
        <c:gapWidth val="219"/>
        <c:overlap val="-27"/>
        <c:axId val="1889698655"/>
        <c:axId val="1889703647"/>
      </c:barChart>
      <c:catAx>
        <c:axId val="188969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ln>
                  <a:noFill/>
                </a:ln>
                <a:solidFill>
                  <a:schemeClr val="tx1">
                    <a:lumMod val="65000"/>
                    <a:lumOff val="35000"/>
                  </a:schemeClr>
                </a:solidFill>
                <a:effectLst>
                  <a:glow>
                    <a:schemeClr val="accent1">
                      <a:alpha val="40000"/>
                    </a:schemeClr>
                  </a:glow>
                </a:effectLst>
                <a:latin typeface="+mn-lt"/>
                <a:ea typeface="+mn-ea"/>
                <a:cs typeface="+mn-cs"/>
              </a:defRPr>
            </a:pPr>
            <a:endParaRPr lang="en-US"/>
          </a:p>
        </c:txPr>
        <c:crossAx val="1889703647"/>
        <c:crosses val="autoZero"/>
        <c:auto val="1"/>
        <c:lblAlgn val="ctr"/>
        <c:lblOffset val="100"/>
        <c:noMultiLvlLbl val="0"/>
      </c:catAx>
      <c:valAx>
        <c:axId val="1889703647"/>
        <c:scaling>
          <c:orientation val="minMax"/>
        </c:scaling>
        <c:delete val="1"/>
        <c:axPos val="l"/>
        <c:numFmt formatCode="0.00%" sourceLinked="1"/>
        <c:majorTickMark val="none"/>
        <c:minorTickMark val="none"/>
        <c:tickLblPos val="nextTo"/>
        <c:crossAx val="188969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5400000" vert="horz"/>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[Montgomery_Fleet_Equipment_Inventory_FA_PART_2_END.XLSX]Sheet3!PivotTable7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Equipment</a:t>
            </a:r>
            <a:r>
              <a:rPr lang="en-US" baseline="0"/>
              <a:t> Count By Class</a:t>
            </a:r>
            <a:endParaRPr lang="en-US"/>
          </a:p>
        </c:rich>
      </c:tx>
      <c:layout>
        <c:manualLayout>
          <c:xMode val="edge"/>
          <c:yMode val="edge"/>
          <c:x val="0.12872251249503666"/>
          <c:y val="1.1496998161631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39752517459801"/>
          <c:y val="8.9182151263355269E-2"/>
          <c:w val="0.47429627862595419"/>
          <c:h val="0.85503808544346938"/>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Sheet3!$A$4:$A$17</c:f>
              <c:strCache>
                <c:ptCount val="14"/>
                <c:pt idx="0">
                  <c:v>Transit Bus</c:v>
                </c:pt>
                <c:pt idx="1">
                  <c:v>Public Safety Heavy Duty</c:v>
                </c:pt>
                <c:pt idx="2">
                  <c:v>Medium Duty</c:v>
                </c:pt>
                <c:pt idx="3">
                  <c:v>Public Safety CUV</c:v>
                </c:pt>
                <c:pt idx="4">
                  <c:v>Heavy Duty</c:v>
                </c:pt>
                <c:pt idx="5">
                  <c:v>Public Safety Pick Up Trucks</c:v>
                </c:pt>
                <c:pt idx="6">
                  <c:v>Public Safety Van</c:v>
                </c:pt>
                <c:pt idx="7">
                  <c:v>Public Safety Sedan</c:v>
                </c:pt>
                <c:pt idx="8">
                  <c:v>Public Safety SUV</c:v>
                </c:pt>
                <c:pt idx="9">
                  <c:v>SUV</c:v>
                </c:pt>
                <c:pt idx="10">
                  <c:v>Off Road Vehicle Equipment</c:v>
                </c:pt>
                <c:pt idx="11">
                  <c:v>Pick Up Trucks</c:v>
                </c:pt>
                <c:pt idx="12">
                  <c:v>Van</c:v>
                </c:pt>
                <c:pt idx="13">
                  <c:v>Sedan</c:v>
                </c:pt>
              </c:strCache>
            </c:strRef>
          </c:cat>
          <c:val>
            <c:numRef>
              <c:f>Sheet3!$B$4:$B$17</c:f>
              <c:numCache>
                <c:formatCode>General</c:formatCode>
                <c:ptCount val="14"/>
                <c:pt idx="0">
                  <c:v>1</c:v>
                </c:pt>
                <c:pt idx="1">
                  <c:v>2</c:v>
                </c:pt>
                <c:pt idx="2">
                  <c:v>3</c:v>
                </c:pt>
                <c:pt idx="3">
                  <c:v>4</c:v>
                </c:pt>
                <c:pt idx="4">
                  <c:v>6</c:v>
                </c:pt>
                <c:pt idx="5">
                  <c:v>12</c:v>
                </c:pt>
                <c:pt idx="6">
                  <c:v>12</c:v>
                </c:pt>
                <c:pt idx="7">
                  <c:v>19</c:v>
                </c:pt>
                <c:pt idx="8">
                  <c:v>33</c:v>
                </c:pt>
                <c:pt idx="9">
                  <c:v>34</c:v>
                </c:pt>
                <c:pt idx="10">
                  <c:v>59</c:v>
                </c:pt>
                <c:pt idx="11">
                  <c:v>69</c:v>
                </c:pt>
                <c:pt idx="12">
                  <c:v>70</c:v>
                </c:pt>
                <c:pt idx="13">
                  <c:v>124</c:v>
                </c:pt>
              </c:numCache>
            </c:numRef>
          </c:val>
          <c:extLst>
            <c:ext xmlns:c16="http://schemas.microsoft.com/office/drawing/2014/chart" uri="{C3380CC4-5D6E-409C-BE32-E72D297353CC}">
              <c16:uniqueId val="{00000000-7DD2-4C5F-98B0-F053BA695048}"/>
            </c:ext>
          </c:extLst>
        </c:ser>
        <c:dLbls>
          <c:dLblPos val="outEnd"/>
          <c:showLegendKey val="0"/>
          <c:showVal val="1"/>
          <c:showCatName val="0"/>
          <c:showSerName val="0"/>
          <c:showPercent val="0"/>
          <c:showBubbleSize val="0"/>
        </c:dLbls>
        <c:gapWidth val="182"/>
        <c:axId val="1794560751"/>
        <c:axId val="1794561167"/>
      </c:barChart>
      <c:catAx>
        <c:axId val="179456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94561167"/>
        <c:crosses val="autoZero"/>
        <c:auto val="1"/>
        <c:lblAlgn val="ctr"/>
        <c:lblOffset val="100"/>
        <c:noMultiLvlLbl val="0"/>
      </c:catAx>
      <c:valAx>
        <c:axId val="1794561167"/>
        <c:scaling>
          <c:orientation val="minMax"/>
        </c:scaling>
        <c:delete val="1"/>
        <c:axPos val="b"/>
        <c:numFmt formatCode="General" sourceLinked="1"/>
        <c:majorTickMark val="none"/>
        <c:minorTickMark val="none"/>
        <c:tickLblPos val="nextTo"/>
        <c:crossAx val="179456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137160</xdr:colOff>
      <xdr:row>0</xdr:row>
      <xdr:rowOff>0</xdr:rowOff>
    </xdr:from>
    <xdr:to>
      <xdr:col>9</xdr:col>
      <xdr:colOff>388620</xdr:colOff>
      <xdr:row>26</xdr:row>
      <xdr:rowOff>0</xdr:rowOff>
    </xdr:to>
    <xdr:graphicFrame macro="">
      <xdr:nvGraphicFramePr>
        <xdr:cNvPr id="3" name="Chart 2">
          <a:extLst>
            <a:ext uri="{FF2B5EF4-FFF2-40B4-BE49-F238E27FC236}">
              <a16:creationId xmlns:a16="http://schemas.microsoft.com/office/drawing/2014/main" id="{15C04098-7C93-413C-92E4-000A394ED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1</xdr:row>
      <xdr:rowOff>52386</xdr:rowOff>
    </xdr:from>
    <xdr:to>
      <xdr:col>8</xdr:col>
      <xdr:colOff>556260</xdr:colOff>
      <xdr:row>23</xdr:row>
      <xdr:rowOff>106680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171450</xdr:colOff>
      <xdr:row>1</xdr:row>
      <xdr:rowOff>42862</xdr:rowOff>
    </xdr:from>
    <xdr:to>
      <xdr:col>10</xdr:col>
      <xdr:colOff>476250</xdr:colOff>
      <xdr:row>15</xdr:row>
      <xdr:rowOff>119062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0</xdr:row>
      <xdr:rowOff>60960</xdr:rowOff>
    </xdr:from>
    <xdr:to>
      <xdr:col>12</xdr:col>
      <xdr:colOff>114300</xdr:colOff>
      <xdr:row>22</xdr:row>
      <xdr:rowOff>160020</xdr:rowOff>
    </xdr:to>
    <xdr:graphicFrame macro="">
      <xdr:nvGraphicFramePr>
        <xdr:cNvPr id="4" name="Chart 3">
          <a:extLst>
            <a:ext uri="{FF2B5EF4-FFF2-40B4-BE49-F238E27FC236}">
              <a16:creationId xmlns:a16="http://schemas.microsoft.com/office/drawing/2014/main" id="{1673A078-C582-4663-9921-A296CE37E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96863</xdr:colOff>
      <xdr:row>0</xdr:row>
      <xdr:rowOff>16145</xdr:rowOff>
    </xdr:from>
    <xdr:to>
      <xdr:col>13</xdr:col>
      <xdr:colOff>661906</xdr:colOff>
      <xdr:row>32</xdr:row>
      <xdr:rowOff>161441</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96863" y="16145"/>
          <a:ext cx="9169831" cy="6344618"/>
        </a:xfrm>
        <a:prstGeom prst="rect">
          <a:avLst/>
        </a:prstGeom>
        <a:solidFill>
          <a:srgbClr val="ECF39E"/>
        </a:solidFill>
        <a:ln w="57150">
          <a:solidFill>
            <a:srgbClr val="4F77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161441</xdr:colOff>
      <xdr:row>0</xdr:row>
      <xdr:rowOff>80720</xdr:rowOff>
    </xdr:from>
    <xdr:to>
      <xdr:col>13</xdr:col>
      <xdr:colOff>597331</xdr:colOff>
      <xdr:row>4</xdr:row>
      <xdr:rowOff>16144</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161441" y="80720"/>
          <a:ext cx="9040678" cy="710339"/>
        </a:xfrm>
        <a:prstGeom prst="rect">
          <a:avLst/>
        </a:prstGeom>
        <a:solidFill>
          <a:schemeClr val="bg1"/>
        </a:solidFill>
        <a:ln w="28575">
          <a:solidFill>
            <a:srgbClr val="ECF39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rgbClr val="4F772D"/>
              </a:solidFill>
            </a:rPr>
            <a:t>DEPARTMENT DASHBOARD</a:t>
          </a:r>
        </a:p>
      </xdr:txBody>
    </xdr:sp>
    <xdr:clientData/>
  </xdr:twoCellAnchor>
  <xdr:twoCellAnchor>
    <xdr:from>
      <xdr:col>0</xdr:col>
      <xdr:colOff>159484</xdr:colOff>
      <xdr:row>4</xdr:row>
      <xdr:rowOff>75958</xdr:rowOff>
    </xdr:from>
    <xdr:to>
      <xdr:col>13</xdr:col>
      <xdr:colOff>595374</xdr:colOff>
      <xdr:row>8</xdr:row>
      <xdr:rowOff>16155</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159484" y="849001"/>
          <a:ext cx="9049803" cy="713241"/>
        </a:xfrm>
        <a:prstGeom prst="rect">
          <a:avLst/>
        </a:prstGeom>
        <a:solidFill>
          <a:schemeClr val="bg1"/>
        </a:solidFill>
        <a:ln w="28575">
          <a:solidFill>
            <a:srgbClr val="ECF39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GB" sz="1200" b="1">
            <a:solidFill>
              <a:srgbClr val="4F772D"/>
            </a:solidFill>
            <a:latin typeface="+mn-lt"/>
            <a:ea typeface="+mn-ea"/>
            <a:cs typeface="+mn-cs"/>
          </a:endParaRPr>
        </a:p>
      </xdr:txBody>
    </xdr:sp>
    <xdr:clientData/>
  </xdr:twoCellAnchor>
  <xdr:twoCellAnchor>
    <xdr:from>
      <xdr:col>0</xdr:col>
      <xdr:colOff>160986</xdr:colOff>
      <xdr:row>8</xdr:row>
      <xdr:rowOff>93908</xdr:rowOff>
    </xdr:from>
    <xdr:to>
      <xdr:col>7</xdr:col>
      <xdr:colOff>0</xdr:colOff>
      <xdr:row>32</xdr:row>
      <xdr:rowOff>67077</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160986" y="1596443"/>
          <a:ext cx="4440528" cy="4480775"/>
        </a:xfrm>
        <a:prstGeom prst="rect">
          <a:avLst/>
        </a:prstGeom>
        <a:solidFill>
          <a:schemeClr val="bg1"/>
        </a:solidFill>
        <a:ln w="28575">
          <a:solidFill>
            <a:srgbClr val="ECF39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7</xdr:col>
      <xdr:colOff>123695</xdr:colOff>
      <xdr:row>8</xdr:row>
      <xdr:rowOff>110054</xdr:rowOff>
    </xdr:from>
    <xdr:to>
      <xdr:col>13</xdr:col>
      <xdr:colOff>576866</xdr:colOff>
      <xdr:row>20</xdr:row>
      <xdr:rowOff>0</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4725209" y="1612589"/>
          <a:ext cx="4397326" cy="2143749"/>
        </a:xfrm>
        <a:prstGeom prst="rect">
          <a:avLst/>
        </a:prstGeom>
        <a:solidFill>
          <a:schemeClr val="bg1"/>
        </a:solidFill>
        <a:ln w="28575">
          <a:solidFill>
            <a:srgbClr val="ECF39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7</xdr:col>
      <xdr:colOff>123694</xdr:colOff>
      <xdr:row>20</xdr:row>
      <xdr:rowOff>110053</xdr:rowOff>
    </xdr:from>
    <xdr:to>
      <xdr:col>13</xdr:col>
      <xdr:colOff>576865</xdr:colOff>
      <xdr:row>32</xdr:row>
      <xdr:rowOff>1850</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4761955" y="3975270"/>
          <a:ext cx="4428823" cy="2210928"/>
        </a:xfrm>
        <a:prstGeom prst="rect">
          <a:avLst/>
        </a:prstGeom>
        <a:solidFill>
          <a:schemeClr val="bg1"/>
        </a:solidFill>
        <a:ln w="28575">
          <a:solidFill>
            <a:srgbClr val="ECF39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276087</xdr:colOff>
      <xdr:row>4</xdr:row>
      <xdr:rowOff>138043</xdr:rowOff>
    </xdr:from>
    <xdr:to>
      <xdr:col>4</xdr:col>
      <xdr:colOff>27608</xdr:colOff>
      <xdr:row>7</xdr:row>
      <xdr:rowOff>124239</xdr:rowOff>
    </xdr:to>
    <xdr:sp macro="" textlink="">
      <xdr:nvSpPr>
        <xdr:cNvPr id="9" name="Rectangle 8">
          <a:extLst>
            <a:ext uri="{FF2B5EF4-FFF2-40B4-BE49-F238E27FC236}">
              <a16:creationId xmlns:a16="http://schemas.microsoft.com/office/drawing/2014/main" id="{00000000-0008-0000-0400-000009000000}"/>
            </a:ext>
          </a:extLst>
        </xdr:cNvPr>
        <xdr:cNvSpPr/>
      </xdr:nvSpPr>
      <xdr:spPr>
        <a:xfrm>
          <a:off x="938696" y="911086"/>
          <a:ext cx="1739347" cy="565979"/>
        </a:xfrm>
        <a:prstGeom prst="rect">
          <a:avLst/>
        </a:prstGeom>
        <a:solidFill>
          <a:schemeClr val="bg1"/>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solidFill>
                <a:srgbClr val="4F772D"/>
              </a:solidFill>
            </a:rPr>
            <a:t>No</a:t>
          </a:r>
          <a:r>
            <a:rPr lang="en-GB" sz="1200" b="1" baseline="0">
              <a:solidFill>
                <a:srgbClr val="4F772D"/>
              </a:solidFill>
            </a:rPr>
            <a:t> of department</a:t>
          </a:r>
        </a:p>
        <a:p>
          <a:pPr algn="ctr"/>
          <a:endParaRPr lang="en-GB" sz="1200" b="1" baseline="0">
            <a:solidFill>
              <a:srgbClr val="4F772D"/>
            </a:solidFill>
          </a:endParaRPr>
        </a:p>
      </xdr:txBody>
    </xdr:sp>
    <xdr:clientData/>
  </xdr:twoCellAnchor>
  <xdr:twoCellAnchor>
    <xdr:from>
      <xdr:col>4</xdr:col>
      <xdr:colOff>159483</xdr:colOff>
      <xdr:row>4</xdr:row>
      <xdr:rowOff>131175</xdr:rowOff>
    </xdr:from>
    <xdr:to>
      <xdr:col>6</xdr:col>
      <xdr:colOff>573613</xdr:colOff>
      <xdr:row>7</xdr:row>
      <xdr:rowOff>117371</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2809918" y="904218"/>
          <a:ext cx="1739347" cy="565979"/>
        </a:xfrm>
        <a:prstGeom prst="rect">
          <a:avLst/>
        </a:prstGeom>
        <a:solidFill>
          <a:schemeClr val="bg1"/>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200" b="1">
              <a:solidFill>
                <a:srgbClr val="4F772D"/>
              </a:solidFill>
              <a:latin typeface="+mn-lt"/>
              <a:ea typeface="+mn-ea"/>
              <a:cs typeface="+mn-cs"/>
            </a:rPr>
            <a:t>Equipment Class</a:t>
          </a:r>
        </a:p>
      </xdr:txBody>
    </xdr:sp>
    <xdr:clientData/>
  </xdr:twoCellAnchor>
  <xdr:twoCellAnchor>
    <xdr:from>
      <xdr:col>7</xdr:col>
      <xdr:colOff>49049</xdr:colOff>
      <xdr:row>4</xdr:row>
      <xdr:rowOff>131175</xdr:rowOff>
    </xdr:from>
    <xdr:to>
      <xdr:col>9</xdr:col>
      <xdr:colOff>463179</xdr:colOff>
      <xdr:row>7</xdr:row>
      <xdr:rowOff>117371</xdr:rowOff>
    </xdr:to>
    <xdr:sp macro="" textlink="">
      <xdr:nvSpPr>
        <xdr:cNvPr id="11" name="Rectangle 10">
          <a:extLst>
            <a:ext uri="{FF2B5EF4-FFF2-40B4-BE49-F238E27FC236}">
              <a16:creationId xmlns:a16="http://schemas.microsoft.com/office/drawing/2014/main" id="{00000000-0008-0000-0400-00000B000000}"/>
            </a:ext>
          </a:extLst>
        </xdr:cNvPr>
        <xdr:cNvSpPr/>
      </xdr:nvSpPr>
      <xdr:spPr>
        <a:xfrm>
          <a:off x="4687310" y="904218"/>
          <a:ext cx="1739347" cy="565979"/>
        </a:xfrm>
        <a:prstGeom prst="rect">
          <a:avLst/>
        </a:prstGeom>
        <a:solidFill>
          <a:schemeClr val="bg1"/>
        </a:solidFill>
        <a:ln w="2857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GB" sz="1200" b="1">
            <a:solidFill>
              <a:srgbClr val="4F772D"/>
            </a:solidFill>
            <a:latin typeface="+mn-lt"/>
            <a:ea typeface="+mn-ea"/>
            <a:cs typeface="+mn-cs"/>
          </a:endParaRPr>
        </a:p>
      </xdr:txBody>
    </xdr:sp>
    <xdr:clientData/>
  </xdr:twoCellAnchor>
  <xdr:twoCellAnchor>
    <xdr:from>
      <xdr:col>9</xdr:col>
      <xdr:colOff>615028</xdr:colOff>
      <xdr:row>4</xdr:row>
      <xdr:rowOff>131175</xdr:rowOff>
    </xdr:from>
    <xdr:to>
      <xdr:col>12</xdr:col>
      <xdr:colOff>366549</xdr:colOff>
      <xdr:row>7</xdr:row>
      <xdr:rowOff>117371</xdr:rowOff>
    </xdr:to>
    <xdr:sp macro="" textlink="">
      <xdr:nvSpPr>
        <xdr:cNvPr id="12" name="Rectangle 11">
          <a:extLst>
            <a:ext uri="{FF2B5EF4-FFF2-40B4-BE49-F238E27FC236}">
              <a16:creationId xmlns:a16="http://schemas.microsoft.com/office/drawing/2014/main" id="{00000000-0008-0000-0400-00000C000000}"/>
            </a:ext>
          </a:extLst>
        </xdr:cNvPr>
        <xdr:cNvSpPr/>
      </xdr:nvSpPr>
      <xdr:spPr>
        <a:xfrm>
          <a:off x="6578506" y="904218"/>
          <a:ext cx="1739347" cy="565979"/>
        </a:xfrm>
        <a:prstGeom prst="rect">
          <a:avLst/>
        </a:prstGeom>
        <a:solidFill>
          <a:schemeClr val="bg1"/>
        </a:solidFill>
        <a:ln w="2857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GB" sz="1200" b="1">
            <a:solidFill>
              <a:srgbClr val="4F772D"/>
            </a:solidFill>
            <a:latin typeface="+mn-lt"/>
            <a:ea typeface="+mn-ea"/>
            <a:cs typeface="+mn-cs"/>
          </a:endParaRPr>
        </a:p>
      </xdr:txBody>
    </xdr:sp>
    <xdr:clientData/>
  </xdr:twoCellAnchor>
  <xdr:oneCellAnchor>
    <xdr:from>
      <xdr:col>2</xdr:col>
      <xdr:colOff>262606</xdr:colOff>
      <xdr:row>5</xdr:row>
      <xdr:rowOff>151332</xdr:rowOff>
    </xdr:from>
    <xdr:ext cx="366639" cy="311496"/>
    <xdr:sp macro="" textlink="Montgomery_Fleet_Equipment_Inve!I56">
      <xdr:nvSpPr>
        <xdr:cNvPr id="13" name="TextBox 12">
          <a:extLst>
            <a:ext uri="{FF2B5EF4-FFF2-40B4-BE49-F238E27FC236}">
              <a16:creationId xmlns:a16="http://schemas.microsoft.com/office/drawing/2014/main" id="{00000000-0008-0000-0400-00000D000000}"/>
            </a:ext>
          </a:extLst>
        </xdr:cNvPr>
        <xdr:cNvSpPr txBox="1"/>
      </xdr:nvSpPr>
      <xdr:spPr>
        <a:xfrm>
          <a:off x="1580083" y="1108283"/>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8D27365-37A9-4967-B02E-A972F888DA3F}" type="TxLink">
            <a:rPr lang="en-US" sz="1400" b="1" i="0" u="none" strike="noStrike">
              <a:solidFill>
                <a:srgbClr val="4F772D"/>
              </a:solidFill>
              <a:latin typeface="Calibri"/>
              <a:cs typeface="Calibri"/>
            </a:rPr>
            <a:pPr/>
            <a:t>13</a:t>
          </a:fld>
          <a:endParaRPr lang="en-GB" sz="1400" b="1">
            <a:solidFill>
              <a:srgbClr val="4F772D"/>
            </a:solidFill>
          </a:endParaRPr>
        </a:p>
      </xdr:txBody>
    </xdr:sp>
    <xdr:clientData/>
  </xdr:oneCellAnchor>
  <xdr:twoCellAnchor>
    <xdr:from>
      <xdr:col>5</xdr:col>
      <xdr:colOff>186939</xdr:colOff>
      <xdr:row>5</xdr:row>
      <xdr:rowOff>129076</xdr:rowOff>
    </xdr:from>
    <xdr:to>
      <xdr:col>5</xdr:col>
      <xdr:colOff>553578</xdr:colOff>
      <xdr:row>7</xdr:row>
      <xdr:rowOff>57792</xdr:rowOff>
    </xdr:to>
    <xdr:sp macro="" textlink="Montgomery_Fleet_Equipment_Inve!I57">
      <xdr:nvSpPr>
        <xdr:cNvPr id="14" name="TextBox 13">
          <a:extLst>
            <a:ext uri="{FF2B5EF4-FFF2-40B4-BE49-F238E27FC236}">
              <a16:creationId xmlns:a16="http://schemas.microsoft.com/office/drawing/2014/main" id="{00000000-0008-0000-0400-00000E000000}"/>
            </a:ext>
          </a:extLst>
        </xdr:cNvPr>
        <xdr:cNvSpPr txBox="1"/>
      </xdr:nvSpPr>
      <xdr:spPr>
        <a:xfrm>
          <a:off x="3480631" y="1086027"/>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597829D1-843D-43AC-A266-91E848A994C6}" type="TxLink">
            <a:rPr lang="en-US" sz="1400" b="1" i="0" u="none" strike="noStrike">
              <a:solidFill>
                <a:srgbClr val="4F772D"/>
              </a:solidFill>
              <a:latin typeface="Calibri"/>
              <a:ea typeface="+mn-ea"/>
              <a:cs typeface="Calibri"/>
            </a:rPr>
            <a:pPr marL="0" indent="0"/>
            <a:t>15</a:t>
          </a:fld>
          <a:endParaRPr lang="en-GB" sz="1400" b="1" i="0" u="none" strike="noStrike">
            <a:solidFill>
              <a:srgbClr val="4F772D"/>
            </a:solidFill>
            <a:latin typeface="Calibri"/>
            <a:ea typeface="+mn-ea"/>
            <a:cs typeface="Calibri"/>
          </a:endParaRPr>
        </a:p>
      </xdr:txBody>
    </xdr:sp>
    <xdr:clientData/>
  </xdr:twoCellAnchor>
  <xdr:twoCellAnchor>
    <xdr:from>
      <xdr:col>0</xdr:col>
      <xdr:colOff>320279</xdr:colOff>
      <xdr:row>9</xdr:row>
      <xdr:rowOff>133350</xdr:rowOff>
    </xdr:from>
    <xdr:to>
      <xdr:col>6</xdr:col>
      <xdr:colOff>431601</xdr:colOff>
      <xdr:row>31</xdr:row>
      <xdr:rowOff>133946</xdr:rowOff>
    </xdr:to>
    <xdr:graphicFrame macro="">
      <xdr:nvGraphicFramePr>
        <xdr:cNvPr id="15" name="Chart 1">
          <a:extLst>
            <a:ext uri="{FF2B5EF4-FFF2-40B4-BE49-F238E27FC236}">
              <a16:creationId xmlns:a16="http://schemas.microsoft.com/office/drawing/2014/main" id="{00000000-0008-0000-04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409575</xdr:colOff>
      <xdr:row>8</xdr:row>
      <xdr:rowOff>180974</xdr:rowOff>
    </xdr:from>
    <xdr:to>
      <xdr:col>5</xdr:col>
      <xdr:colOff>466724</xdr:colOff>
      <xdr:row>10</xdr:row>
      <xdr:rowOff>57149</xdr:rowOff>
    </xdr:to>
    <xdr:sp macro="" textlink="">
      <xdr:nvSpPr>
        <xdr:cNvPr id="16" name="TextBox 15">
          <a:extLst>
            <a:ext uri="{FF2B5EF4-FFF2-40B4-BE49-F238E27FC236}">
              <a16:creationId xmlns:a16="http://schemas.microsoft.com/office/drawing/2014/main" id="{00000000-0008-0000-0400-000010000000}"/>
            </a:ext>
          </a:extLst>
        </xdr:cNvPr>
        <xdr:cNvSpPr txBox="1"/>
      </xdr:nvSpPr>
      <xdr:spPr>
        <a:xfrm>
          <a:off x="1066800" y="1704974"/>
          <a:ext cx="2686049"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4F772D"/>
              </a:solidFill>
            </a:rPr>
            <a:t>Equipment</a:t>
          </a:r>
          <a:r>
            <a:rPr lang="en-GB" sz="1400" b="1" baseline="0">
              <a:solidFill>
                <a:srgbClr val="4F772D"/>
              </a:solidFill>
            </a:rPr>
            <a:t> Count by Department</a:t>
          </a:r>
          <a:endParaRPr lang="en-GB" sz="1400" b="1">
            <a:solidFill>
              <a:srgbClr val="4F772D"/>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68580</xdr:colOff>
      <xdr:row>32</xdr:row>
      <xdr:rowOff>164719</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0" y="0"/>
          <a:ext cx="8602980" cy="6016879"/>
        </a:xfrm>
        <a:prstGeom prst="rect">
          <a:avLst/>
        </a:prstGeom>
        <a:solidFill>
          <a:srgbClr val="57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175260</xdr:colOff>
      <xdr:row>0</xdr:row>
      <xdr:rowOff>94080</xdr:rowOff>
    </xdr:from>
    <xdr:to>
      <xdr:col>13</xdr:col>
      <xdr:colOff>541020</xdr:colOff>
      <xdr:row>2</xdr:row>
      <xdr:rowOff>52193</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175260" y="94080"/>
          <a:ext cx="8290560" cy="323873"/>
        </a:xfrm>
        <a:prstGeom prst="rect">
          <a:avLst/>
        </a:prstGeom>
        <a:solidFill>
          <a:srgbClr val="2257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t>         MONTGOMERY FLEET EQUIPMENT DASHBOARD</a:t>
          </a:r>
        </a:p>
      </xdr:txBody>
    </xdr:sp>
    <xdr:clientData/>
  </xdr:twoCellAnchor>
  <xdr:twoCellAnchor>
    <xdr:from>
      <xdr:col>0</xdr:col>
      <xdr:colOff>152400</xdr:colOff>
      <xdr:row>2</xdr:row>
      <xdr:rowOff>83820</xdr:rowOff>
    </xdr:from>
    <xdr:to>
      <xdr:col>2</xdr:col>
      <xdr:colOff>160020</xdr:colOff>
      <xdr:row>32</xdr:row>
      <xdr:rowOff>45720</xdr:rowOff>
    </xdr:to>
    <xdr:sp macro="" textlink="">
      <xdr:nvSpPr>
        <xdr:cNvPr id="4" name="Rectangle 3">
          <a:extLst>
            <a:ext uri="{FF2B5EF4-FFF2-40B4-BE49-F238E27FC236}">
              <a16:creationId xmlns:a16="http://schemas.microsoft.com/office/drawing/2014/main" id="{00000000-0008-0000-0500-000004000000}"/>
            </a:ext>
          </a:extLst>
        </xdr:cNvPr>
        <xdr:cNvSpPr/>
      </xdr:nvSpPr>
      <xdr:spPr>
        <a:xfrm>
          <a:off x="152400" y="449580"/>
          <a:ext cx="1226820" cy="5448300"/>
        </a:xfrm>
        <a:prstGeom prst="rect">
          <a:avLst/>
        </a:prstGeom>
        <a:solidFill>
          <a:srgbClr val="2257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225470</xdr:colOff>
      <xdr:row>2</xdr:row>
      <xdr:rowOff>99060</xdr:rowOff>
    </xdr:from>
    <xdr:to>
      <xdr:col>7</xdr:col>
      <xdr:colOff>465550</xdr:colOff>
      <xdr:row>32</xdr:row>
      <xdr:rowOff>68580</xdr:rowOff>
    </xdr:to>
    <xdr:sp macro="" textlink="">
      <xdr:nvSpPr>
        <xdr:cNvPr id="7" name="Rectangle 6">
          <a:extLst>
            <a:ext uri="{FF2B5EF4-FFF2-40B4-BE49-F238E27FC236}">
              <a16:creationId xmlns:a16="http://schemas.microsoft.com/office/drawing/2014/main" id="{00000000-0008-0000-0500-000007000000}"/>
            </a:ext>
          </a:extLst>
        </xdr:cNvPr>
        <xdr:cNvSpPr/>
      </xdr:nvSpPr>
      <xdr:spPr>
        <a:xfrm>
          <a:off x="1444670" y="464820"/>
          <a:ext cx="3288080" cy="5455920"/>
        </a:xfrm>
        <a:prstGeom prst="rect">
          <a:avLst/>
        </a:prstGeom>
        <a:solidFill>
          <a:srgbClr val="2257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510540</xdr:colOff>
      <xdr:row>2</xdr:row>
      <xdr:rowOff>109185</xdr:rowOff>
    </xdr:from>
    <xdr:to>
      <xdr:col>13</xdr:col>
      <xdr:colOff>541019</xdr:colOff>
      <xdr:row>16</xdr:row>
      <xdr:rowOff>121920</xdr:rowOff>
    </xdr:to>
    <xdr:sp macro="" textlink="">
      <xdr:nvSpPr>
        <xdr:cNvPr id="12" name="Rectangle 11">
          <a:extLst>
            <a:ext uri="{FF2B5EF4-FFF2-40B4-BE49-F238E27FC236}">
              <a16:creationId xmlns:a16="http://schemas.microsoft.com/office/drawing/2014/main" id="{00000000-0008-0000-0500-00000C000000}"/>
            </a:ext>
          </a:extLst>
        </xdr:cNvPr>
        <xdr:cNvSpPr/>
      </xdr:nvSpPr>
      <xdr:spPr>
        <a:xfrm>
          <a:off x="4777740" y="474945"/>
          <a:ext cx="3688079" cy="2573055"/>
        </a:xfrm>
        <a:prstGeom prst="rect">
          <a:avLst/>
        </a:prstGeom>
        <a:solidFill>
          <a:srgbClr val="2257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518160</xdr:colOff>
      <xdr:row>16</xdr:row>
      <xdr:rowOff>160020</xdr:rowOff>
    </xdr:from>
    <xdr:to>
      <xdr:col>13</xdr:col>
      <xdr:colOff>541020</xdr:colOff>
      <xdr:row>32</xdr:row>
      <xdr:rowOff>76200</xdr:rowOff>
    </xdr:to>
    <xdr:sp macro="" textlink="">
      <xdr:nvSpPr>
        <xdr:cNvPr id="13" name="Rectangle 12">
          <a:extLst>
            <a:ext uri="{FF2B5EF4-FFF2-40B4-BE49-F238E27FC236}">
              <a16:creationId xmlns:a16="http://schemas.microsoft.com/office/drawing/2014/main" id="{00000000-0008-0000-0500-00000D000000}"/>
            </a:ext>
          </a:extLst>
        </xdr:cNvPr>
        <xdr:cNvSpPr/>
      </xdr:nvSpPr>
      <xdr:spPr>
        <a:xfrm>
          <a:off x="4785360" y="3086100"/>
          <a:ext cx="3680460" cy="2842260"/>
        </a:xfrm>
        <a:prstGeom prst="rect">
          <a:avLst/>
        </a:prstGeom>
        <a:solidFill>
          <a:srgbClr val="2257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548640</xdr:colOff>
      <xdr:row>3</xdr:row>
      <xdr:rowOff>2821</xdr:rowOff>
    </xdr:from>
    <xdr:to>
      <xdr:col>13</xdr:col>
      <xdr:colOff>480060</xdr:colOff>
      <xdr:row>16</xdr:row>
      <xdr:rowOff>7621</xdr:rowOff>
    </xdr:to>
    <xdr:graphicFrame macro="">
      <xdr:nvGraphicFramePr>
        <xdr:cNvPr id="10" name="Chart 9">
          <a:extLst>
            <a:ext uri="{FF2B5EF4-FFF2-40B4-BE49-F238E27FC236}">
              <a16:creationId xmlns:a16="http://schemas.microsoft.com/office/drawing/2014/main" id="{75D21A11-3819-4C63-A473-CB9E336DF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17</xdr:row>
      <xdr:rowOff>22860</xdr:rowOff>
    </xdr:from>
    <xdr:to>
      <xdr:col>13</xdr:col>
      <xdr:colOff>486427</xdr:colOff>
      <xdr:row>31</xdr:row>
      <xdr:rowOff>169832</xdr:rowOff>
    </xdr:to>
    <xdr:graphicFrame macro="">
      <xdr:nvGraphicFramePr>
        <xdr:cNvPr id="11" name="Chart 10">
          <a:extLst>
            <a:ext uri="{FF2B5EF4-FFF2-40B4-BE49-F238E27FC236}">
              <a16:creationId xmlns:a16="http://schemas.microsoft.com/office/drawing/2014/main" id="{2F5BEC02-4840-47B2-B9CF-543291A98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288099</xdr:colOff>
      <xdr:row>2</xdr:row>
      <xdr:rowOff>175260</xdr:rowOff>
    </xdr:from>
    <xdr:to>
      <xdr:col>7</xdr:col>
      <xdr:colOff>413359</xdr:colOff>
      <xdr:row>32</xdr:row>
      <xdr:rowOff>0</xdr:rowOff>
    </xdr:to>
    <xdr:graphicFrame macro="">
      <xdr:nvGraphicFramePr>
        <xdr:cNvPr id="15" name="Chart 14">
          <a:extLst>
            <a:ext uri="{FF2B5EF4-FFF2-40B4-BE49-F238E27FC236}">
              <a16:creationId xmlns:a16="http://schemas.microsoft.com/office/drawing/2014/main" id="{F60BC0D2-216F-4CD8-B4A8-BEDB66E00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152400</xdr:colOff>
      <xdr:row>16</xdr:row>
      <xdr:rowOff>0</xdr:rowOff>
    </xdr:from>
    <xdr:to>
      <xdr:col>2</xdr:col>
      <xdr:colOff>175260</xdr:colOff>
      <xdr:row>32</xdr:row>
      <xdr:rowOff>45720</xdr:rowOff>
    </xdr:to>
    <mc:AlternateContent xmlns:mc="http://schemas.openxmlformats.org/markup-compatibility/2006" xmlns:a14="http://schemas.microsoft.com/office/drawing/2010/main">
      <mc:Choice Requires="a14">
        <xdr:graphicFrame macro="">
          <xdr:nvGraphicFramePr>
            <xdr:cNvPr id="8" name="Equipment Class">
              <a:extLst>
                <a:ext uri="{FF2B5EF4-FFF2-40B4-BE49-F238E27FC236}">
                  <a16:creationId xmlns:a16="http://schemas.microsoft.com/office/drawing/2014/main" id="{EF8AA705-6FE3-4D77-B23B-09B3646B542A}"/>
                </a:ext>
              </a:extLst>
            </xdr:cNvPr>
            <xdr:cNvGraphicFramePr/>
          </xdr:nvGraphicFramePr>
          <xdr:xfrm>
            <a:off x="0" y="0"/>
            <a:ext cx="0" cy="0"/>
          </xdr:xfrm>
          <a:graphic>
            <a:graphicData uri="http://schemas.microsoft.com/office/drawing/2010/slicer">
              <sle:slicer xmlns:sle="http://schemas.microsoft.com/office/drawing/2010/slicer" name="Equipment Class"/>
            </a:graphicData>
          </a:graphic>
        </xdr:graphicFrame>
      </mc:Choice>
      <mc:Fallback xmlns="">
        <xdr:sp macro="" textlink="">
          <xdr:nvSpPr>
            <xdr:cNvPr id="0" name=""/>
            <xdr:cNvSpPr>
              <a:spLocks noTextEdit="1"/>
            </xdr:cNvSpPr>
          </xdr:nvSpPr>
          <xdr:spPr>
            <a:xfrm>
              <a:off x="152400" y="2876764"/>
              <a:ext cx="1238635" cy="29224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5</xdr:row>
      <xdr:rowOff>114301</xdr:rowOff>
    </xdr:from>
    <xdr:to>
      <xdr:col>2</xdr:col>
      <xdr:colOff>167640</xdr:colOff>
      <xdr:row>16</xdr:row>
      <xdr:rowOff>22860</xdr:rowOff>
    </xdr:to>
    <mc:AlternateContent xmlns:mc="http://schemas.openxmlformats.org/markup-compatibility/2006" xmlns:a14="http://schemas.microsoft.com/office/drawing/2010/main">
      <mc:Choice Requires="a14">
        <xdr:graphicFrame macro="">
          <xdr:nvGraphicFramePr>
            <xdr:cNvPr id="16" name="New Department">
              <a:extLst>
                <a:ext uri="{FF2B5EF4-FFF2-40B4-BE49-F238E27FC236}">
                  <a16:creationId xmlns:a16="http://schemas.microsoft.com/office/drawing/2014/main" id="{0AE5F736-D916-4476-88B3-A437E32E1204}"/>
                </a:ext>
              </a:extLst>
            </xdr:cNvPr>
            <xdr:cNvGraphicFramePr/>
          </xdr:nvGraphicFramePr>
          <xdr:xfrm>
            <a:off x="0" y="0"/>
            <a:ext cx="0" cy="0"/>
          </xdr:xfrm>
          <a:graphic>
            <a:graphicData uri="http://schemas.microsoft.com/office/drawing/2010/slicer">
              <sle:slicer xmlns:sle="http://schemas.microsoft.com/office/drawing/2010/slicer" name="New Department"/>
            </a:graphicData>
          </a:graphic>
        </xdr:graphicFrame>
      </mc:Choice>
      <mc:Fallback xmlns="">
        <xdr:sp macro="" textlink="">
          <xdr:nvSpPr>
            <xdr:cNvPr id="0" name=""/>
            <xdr:cNvSpPr>
              <a:spLocks noTextEdit="1"/>
            </xdr:cNvSpPr>
          </xdr:nvSpPr>
          <xdr:spPr>
            <a:xfrm>
              <a:off x="152400" y="1013290"/>
              <a:ext cx="1231015" cy="18863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384636</xdr:colOff>
      <xdr:row>4</xdr:row>
      <xdr:rowOff>60960</xdr:rowOff>
    </xdr:from>
    <xdr:to>
      <xdr:col>1</xdr:col>
      <xdr:colOff>312420</xdr:colOff>
      <xdr:row>5</xdr:row>
      <xdr:rowOff>123826</xdr:rowOff>
    </xdr:to>
    <xdr:sp macro="" textlink="Montgomery_Fleet_Equipment_Inve!I56">
      <xdr:nvSpPr>
        <xdr:cNvPr id="17" name="Rectangle 16">
          <a:extLst>
            <a:ext uri="{FF2B5EF4-FFF2-40B4-BE49-F238E27FC236}">
              <a16:creationId xmlns:a16="http://schemas.microsoft.com/office/drawing/2014/main" id="{AAD56E82-033D-4C5E-BE05-3383C44C2EBB}"/>
            </a:ext>
          </a:extLst>
        </xdr:cNvPr>
        <xdr:cNvSpPr/>
      </xdr:nvSpPr>
      <xdr:spPr>
        <a:xfrm>
          <a:off x="384636" y="792480"/>
          <a:ext cx="537384" cy="245746"/>
        </a:xfrm>
        <a:prstGeom prst="rect">
          <a:avLst/>
        </a:prstGeom>
        <a:solidFill>
          <a:srgbClr val="2257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92C7D70-08B7-4898-9F5D-25090DB833A0}" type="TxLink">
            <a:rPr lang="en-US" sz="1400" b="1" i="0" u="none" strike="noStrike">
              <a:solidFill>
                <a:schemeClr val="bg1"/>
              </a:solidFill>
              <a:latin typeface="Calibri"/>
              <a:cs typeface="Calibri"/>
            </a:rPr>
            <a:pPr algn="ctr"/>
            <a:t>13</a:t>
          </a:fld>
          <a:endParaRPr lang="en-GB" sz="1400" b="1">
            <a:solidFill>
              <a:schemeClr val="bg1"/>
            </a:solidFill>
          </a:endParaRPr>
        </a:p>
      </xdr:txBody>
    </xdr:sp>
    <xdr:clientData/>
  </xdr:twoCellAnchor>
  <xdr:twoCellAnchor>
    <xdr:from>
      <xdr:col>0</xdr:col>
      <xdr:colOff>167640</xdr:colOff>
      <xdr:row>2</xdr:row>
      <xdr:rowOff>91440</xdr:rowOff>
    </xdr:from>
    <xdr:to>
      <xdr:col>2</xdr:col>
      <xdr:colOff>152400</xdr:colOff>
      <xdr:row>4</xdr:row>
      <xdr:rowOff>53340</xdr:rowOff>
    </xdr:to>
    <xdr:sp macro="" textlink="">
      <xdr:nvSpPr>
        <xdr:cNvPr id="18" name="TextBox 17">
          <a:extLst>
            <a:ext uri="{FF2B5EF4-FFF2-40B4-BE49-F238E27FC236}">
              <a16:creationId xmlns:a16="http://schemas.microsoft.com/office/drawing/2014/main" id="{93DB3E5F-DB88-4189-AACF-881E80392056}"/>
            </a:ext>
          </a:extLst>
        </xdr:cNvPr>
        <xdr:cNvSpPr txBox="1"/>
      </xdr:nvSpPr>
      <xdr:spPr>
        <a:xfrm>
          <a:off x="167640" y="457200"/>
          <a:ext cx="12039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b="1"/>
            <a:t>No.</a:t>
          </a:r>
          <a:r>
            <a:rPr lang="en-GB" sz="900" b="1" baseline="0"/>
            <a:t> of Departments</a:t>
          </a:r>
          <a:endParaRPr lang="en-GB" sz="900" b="1"/>
        </a:p>
      </xdr:txBody>
    </xdr:sp>
    <xdr:clientData/>
  </xdr:twoCellAnchor>
  <xdr:twoCellAnchor>
    <xdr:from>
      <xdr:col>0</xdr:col>
      <xdr:colOff>171236</xdr:colOff>
      <xdr:row>0</xdr:row>
      <xdr:rowOff>94179</xdr:rowOff>
    </xdr:from>
    <xdr:to>
      <xdr:col>3</xdr:col>
      <xdr:colOff>17124</xdr:colOff>
      <xdr:row>2</xdr:row>
      <xdr:rowOff>51370</xdr:rowOff>
    </xdr:to>
    <xdr:sp macro="" textlink="">
      <xdr:nvSpPr>
        <xdr:cNvPr id="21" name="TextBox 20">
          <a:extLst>
            <a:ext uri="{FF2B5EF4-FFF2-40B4-BE49-F238E27FC236}">
              <a16:creationId xmlns:a16="http://schemas.microsoft.com/office/drawing/2014/main" id="{5D2AB166-3682-4DB4-A8CD-969C57DE0EA0}"/>
            </a:ext>
          </a:extLst>
        </xdr:cNvPr>
        <xdr:cNvSpPr txBox="1"/>
      </xdr:nvSpPr>
      <xdr:spPr>
        <a:xfrm>
          <a:off x="171236" y="94179"/>
          <a:ext cx="1669551" cy="316787"/>
        </a:xfrm>
        <a:prstGeom prst="rect">
          <a:avLst/>
        </a:prstGeom>
        <a:solidFill>
          <a:srgbClr val="22577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aseline="0"/>
            <a:t> </a:t>
          </a:r>
          <a:r>
            <a:rPr lang="en-GB" sz="1100" baseline="0">
              <a:solidFill>
                <a:schemeClr val="bg1"/>
              </a:solidFill>
            </a:rPr>
            <a:t>EHC: Group 1 </a:t>
          </a:r>
          <a:endParaRPr lang="en-GB"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4.881753703703" createdVersion="5" refreshedVersion="5" minRefreshableVersion="3" recordCount="53" xr:uid="{00000000-000A-0000-FFFF-FFFF01000000}">
  <cacheSource type="worksheet">
    <worksheetSource name="Table1"/>
  </cacheSource>
  <cacheFields count="5">
    <cacheField name="Department" numFmtId="0">
      <sharedItems count="13">
        <s v="Board of"/>
        <s v="Circuit"/>
        <s v="Community Engagement"/>
        <s v="Community Use of Public"/>
        <s v="Consumer"/>
        <s v="Correction and"/>
        <s v="County Executives"/>
        <s v="Economic"/>
        <s v="Environmental"/>
        <s v="Finance"/>
        <s v="Fire and"/>
        <s v="General"/>
        <s v="Health and Human"/>
      </sharedItems>
    </cacheField>
    <cacheField name="Department2" numFmtId="0">
      <sharedItems containsBlank="1"/>
    </cacheField>
    <cacheField name="New Department" numFmtId="0">
      <sharedItems count="13">
        <s v="Board of Elections"/>
        <s v="Circuit Court"/>
        <s v="Community Engagement Cluster"/>
        <s v="Community Use of Public Facilities"/>
        <s v="Consumer Protection"/>
        <s v="Correction and Rehabilitation"/>
        <s v="County Executives Office"/>
        <s v="Economic Development"/>
        <s v="Environmental Protection"/>
        <s v="Finance "/>
        <s v="Fire and Rescue"/>
        <s v="General Services"/>
        <s v="Health and Human Services"/>
      </sharedItems>
    </cacheField>
    <cacheField name="Equipment Class" numFmtId="0">
      <sharedItems count="15">
        <s v="Van"/>
        <s v="Off Road Vehicle Equipment"/>
        <s v="SUV"/>
        <s v="Pick Up Trucks"/>
        <s v="Sedan"/>
        <s v="Public Safety Sedan"/>
        <s v="Public Safety SUV"/>
        <s v="CUV"/>
        <s v="Medium Duty"/>
        <s v="Public Safety Pick Up Trucks"/>
        <s v="Public Safety Van"/>
        <s v="Public Safety CUV"/>
        <s v="Public Safety Heavy Duty"/>
        <s v="Heavy Duty"/>
        <s v="Transit Bus"/>
      </sharedItems>
    </cacheField>
    <cacheField name="Equipment Count" numFmtId="0">
      <sharedItems containsSemiMixedTypes="0" containsString="0" containsNumber="1" containsInteger="1" minValue="1" maxValue="75" count="21">
        <n v="1"/>
        <n v="2"/>
        <n v="8"/>
        <n v="7"/>
        <n v="3"/>
        <n v="10"/>
        <n v="18"/>
        <n v="15"/>
        <n v="33"/>
        <n v="27"/>
        <n v="12"/>
        <n v="11"/>
        <n v="6"/>
        <n v="4"/>
        <n v="21"/>
        <n v="45"/>
        <n v="31"/>
        <n v="42"/>
        <n v="5"/>
        <n v="48"/>
        <n v="75"/>
      </sharedItems>
    </cacheField>
  </cacheFields>
  <extLst>
    <ext xmlns:x14="http://schemas.microsoft.com/office/spreadsheetml/2009/9/main" uri="{725AE2AE-9491-48be-B2B4-4EB974FC3084}">
      <x14:pivotCacheDefinition pivotCacheId="1376135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s v="Elections"/>
    <x v="0"/>
    <x v="0"/>
    <x v="0"/>
  </r>
  <r>
    <x v="0"/>
    <s v="Elections"/>
    <x v="0"/>
    <x v="1"/>
    <x v="1"/>
  </r>
  <r>
    <x v="1"/>
    <s v="Court"/>
    <x v="1"/>
    <x v="2"/>
    <x v="0"/>
  </r>
  <r>
    <x v="2"/>
    <s v="Cluster"/>
    <x v="2"/>
    <x v="3"/>
    <x v="2"/>
  </r>
  <r>
    <x v="2"/>
    <s v="Cluster"/>
    <x v="2"/>
    <x v="1"/>
    <x v="3"/>
  </r>
  <r>
    <x v="2"/>
    <s v="Cluster"/>
    <x v="2"/>
    <x v="2"/>
    <x v="1"/>
  </r>
  <r>
    <x v="3"/>
    <s v="Facilities"/>
    <x v="3"/>
    <x v="4"/>
    <x v="0"/>
  </r>
  <r>
    <x v="4"/>
    <s v="Protection"/>
    <x v="4"/>
    <x v="4"/>
    <x v="0"/>
  </r>
  <r>
    <x v="5"/>
    <s v="Rehabilitation"/>
    <x v="5"/>
    <x v="1"/>
    <x v="4"/>
  </r>
  <r>
    <x v="5"/>
    <s v="Rehabilitation"/>
    <x v="5"/>
    <x v="5"/>
    <x v="0"/>
  </r>
  <r>
    <x v="5"/>
    <s v="Rehabilitation"/>
    <x v="5"/>
    <x v="6"/>
    <x v="1"/>
  </r>
  <r>
    <x v="5"/>
    <s v="Rehabilitation"/>
    <x v="5"/>
    <x v="2"/>
    <x v="4"/>
  </r>
  <r>
    <x v="5"/>
    <s v="Rehabilitation"/>
    <x v="5"/>
    <x v="3"/>
    <x v="0"/>
  </r>
  <r>
    <x v="5"/>
    <s v="Rehabilitation"/>
    <x v="5"/>
    <x v="0"/>
    <x v="2"/>
  </r>
  <r>
    <x v="5"/>
    <s v="Rehabilitation"/>
    <x v="5"/>
    <x v="4"/>
    <x v="5"/>
  </r>
  <r>
    <x v="5"/>
    <s v="Rehabilitation"/>
    <x v="5"/>
    <x v="7"/>
    <x v="0"/>
  </r>
  <r>
    <x v="6"/>
    <s v="Office"/>
    <x v="6"/>
    <x v="4"/>
    <x v="1"/>
  </r>
  <r>
    <x v="6"/>
    <s v="Office"/>
    <x v="6"/>
    <x v="6"/>
    <x v="4"/>
  </r>
  <r>
    <x v="7"/>
    <s v="Development"/>
    <x v="7"/>
    <x v="2"/>
    <x v="0"/>
  </r>
  <r>
    <x v="8"/>
    <s v="Protection"/>
    <x v="8"/>
    <x v="2"/>
    <x v="6"/>
  </r>
  <r>
    <x v="8"/>
    <s v="Protection"/>
    <x v="8"/>
    <x v="4"/>
    <x v="7"/>
  </r>
  <r>
    <x v="8"/>
    <s v="Protection"/>
    <x v="8"/>
    <x v="0"/>
    <x v="4"/>
  </r>
  <r>
    <x v="8"/>
    <s v="Protection"/>
    <x v="8"/>
    <x v="7"/>
    <x v="0"/>
  </r>
  <r>
    <x v="8"/>
    <s v="Protection"/>
    <x v="8"/>
    <x v="8"/>
    <x v="1"/>
  </r>
  <r>
    <x v="8"/>
    <s v="Protection"/>
    <x v="8"/>
    <x v="3"/>
    <x v="8"/>
  </r>
  <r>
    <x v="9"/>
    <m/>
    <x v="9"/>
    <x v="4"/>
    <x v="4"/>
  </r>
  <r>
    <x v="10"/>
    <s v="Rescue"/>
    <x v="10"/>
    <x v="6"/>
    <x v="9"/>
  </r>
  <r>
    <x v="10"/>
    <s v="Rescue"/>
    <x v="10"/>
    <x v="9"/>
    <x v="10"/>
  </r>
  <r>
    <x v="10"/>
    <s v="Rescue"/>
    <x v="10"/>
    <x v="5"/>
    <x v="6"/>
  </r>
  <r>
    <x v="10"/>
    <s v="Rescue"/>
    <x v="10"/>
    <x v="10"/>
    <x v="11"/>
  </r>
  <r>
    <x v="10"/>
    <s v="Rescue"/>
    <x v="10"/>
    <x v="2"/>
    <x v="12"/>
  </r>
  <r>
    <x v="10"/>
    <s v="Rescue"/>
    <x v="10"/>
    <x v="0"/>
    <x v="13"/>
  </r>
  <r>
    <x v="10"/>
    <s v="Rescue"/>
    <x v="10"/>
    <x v="1"/>
    <x v="1"/>
  </r>
  <r>
    <x v="10"/>
    <s v="Rescue"/>
    <x v="10"/>
    <x v="3"/>
    <x v="10"/>
  </r>
  <r>
    <x v="10"/>
    <s v="Rescue"/>
    <x v="10"/>
    <x v="4"/>
    <x v="0"/>
  </r>
  <r>
    <x v="10"/>
    <s v="Rescue"/>
    <x v="10"/>
    <x v="11"/>
    <x v="13"/>
  </r>
  <r>
    <x v="10"/>
    <s v="Rescue"/>
    <x v="10"/>
    <x v="12"/>
    <x v="0"/>
  </r>
  <r>
    <x v="10"/>
    <s v="Rescue"/>
    <x v="10"/>
    <x v="13"/>
    <x v="0"/>
  </r>
  <r>
    <x v="10"/>
    <s v="Rescue"/>
    <x v="10"/>
    <x v="14"/>
    <x v="0"/>
  </r>
  <r>
    <x v="11"/>
    <s v="Services"/>
    <x v="11"/>
    <x v="10"/>
    <x v="0"/>
  </r>
  <r>
    <x v="11"/>
    <s v="Services"/>
    <x v="11"/>
    <x v="2"/>
    <x v="14"/>
  </r>
  <r>
    <x v="11"/>
    <s v="Services"/>
    <x v="11"/>
    <x v="12"/>
    <x v="0"/>
  </r>
  <r>
    <x v="11"/>
    <s v="Services"/>
    <x v="11"/>
    <x v="1"/>
    <x v="15"/>
  </r>
  <r>
    <x v="11"/>
    <s v="Services"/>
    <x v="11"/>
    <x v="4"/>
    <x v="16"/>
  </r>
  <r>
    <x v="11"/>
    <s v="Services"/>
    <x v="11"/>
    <x v="8"/>
    <x v="4"/>
  </r>
  <r>
    <x v="11"/>
    <s v="Services"/>
    <x v="11"/>
    <x v="0"/>
    <x v="17"/>
  </r>
  <r>
    <x v="11"/>
    <s v="Services"/>
    <x v="11"/>
    <x v="7"/>
    <x v="18"/>
  </r>
  <r>
    <x v="11"/>
    <s v="Services"/>
    <x v="11"/>
    <x v="13"/>
    <x v="18"/>
  </r>
  <r>
    <x v="11"/>
    <s v="Services"/>
    <x v="11"/>
    <x v="3"/>
    <x v="19"/>
  </r>
  <r>
    <x v="12"/>
    <s v="Services"/>
    <x v="12"/>
    <x v="7"/>
    <x v="18"/>
  </r>
  <r>
    <x v="12"/>
    <s v="Services"/>
    <x v="12"/>
    <x v="0"/>
    <x v="7"/>
  </r>
  <r>
    <x v="12"/>
    <s v="Services"/>
    <x v="12"/>
    <x v="6"/>
    <x v="0"/>
  </r>
  <r>
    <x v="12"/>
    <s v="Services"/>
    <x v="12"/>
    <x v="4"/>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5" indent="0" compact="0" outline="1" outlineData="1" compactData="0" multipleFieldFilters="0" chartFormat="21">
  <location ref="A3:B15" firstHeaderRow="1" firstDataRow="1" firstDataCol="1"/>
  <pivotFields count="5">
    <pivotField compact="0" showAll="0"/>
    <pivotField compact="0" showAll="0"/>
    <pivotField axis="axisRow" compact="0" showAll="0" sortType="ascending">
      <items count="14">
        <item x="0"/>
        <item x="1"/>
        <item x="2"/>
        <item x="3"/>
        <item x="4"/>
        <item x="5"/>
        <item x="6"/>
        <item x="7"/>
        <item x="8"/>
        <item h="1" x="9"/>
        <item x="10"/>
        <item x="11"/>
        <item x="12"/>
        <item t="default"/>
      </items>
      <autoSortScope>
        <pivotArea dataOnly="0" outline="0" fieldPosition="0">
          <references count="1">
            <reference field="4294967294" count="1" selected="0">
              <x v="0"/>
            </reference>
          </references>
        </pivotArea>
      </autoSortScope>
    </pivotField>
    <pivotField compact="0" showAll="0">
      <items count="16">
        <item h="1" x="7"/>
        <item x="13"/>
        <item x="8"/>
        <item x="1"/>
        <item x="3"/>
        <item x="11"/>
        <item x="12"/>
        <item x="9"/>
        <item x="5"/>
        <item x="6"/>
        <item x="10"/>
        <item x="4"/>
        <item x="2"/>
        <item x="14"/>
        <item x="0"/>
        <item t="default"/>
      </items>
    </pivotField>
    <pivotField dataField="1" compact="0" showAll="0"/>
  </pivotFields>
  <rowFields count="1">
    <field x="2"/>
  </rowFields>
  <rowItems count="12">
    <i>
      <x v="3"/>
    </i>
    <i>
      <x v="7"/>
    </i>
    <i>
      <x v="4"/>
    </i>
    <i>
      <x v="1"/>
    </i>
    <i>
      <x/>
    </i>
    <i>
      <x v="6"/>
    </i>
    <i>
      <x v="2"/>
    </i>
    <i>
      <x v="5"/>
    </i>
    <i>
      <x v="8"/>
    </i>
    <i>
      <x v="12"/>
    </i>
    <i>
      <x v="10"/>
    </i>
    <i>
      <x v="11"/>
    </i>
  </rowItems>
  <colItems count="1">
    <i/>
  </colItems>
  <dataFields count="1">
    <dataField name="Sum of Equipment Count" fld="4" showDataAs="percentOfTotal" baseField="0" baseItem="0" numFmtId="10"/>
  </dataFields>
  <chartFormats count="11">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11"/>
          </reference>
        </references>
      </pivotArea>
    </chartFormat>
    <chartFormat chart="7" format="3">
      <pivotArea type="data" outline="0" fieldPosition="0">
        <references count="2">
          <reference field="4294967294" count="1" selected="0">
            <x v="0"/>
          </reference>
          <reference field="2" count="1" selected="0">
            <x v="10"/>
          </reference>
        </references>
      </pivotArea>
    </chartFormat>
    <chartFormat chart="7" format="4">
      <pivotArea type="data" outline="0" fieldPosition="0">
        <references count="2">
          <reference field="4294967294" count="1" selected="0">
            <x v="0"/>
          </reference>
          <reference field="2" count="1" selected="0">
            <x v="12"/>
          </reference>
        </references>
      </pivotArea>
    </chartFormat>
    <chartFormat chart="7" format="5">
      <pivotArea type="data" outline="0" fieldPosition="0">
        <references count="2">
          <reference field="4294967294" count="1" selected="0">
            <x v="0"/>
          </reference>
          <reference field="2" count="1" selected="0">
            <x v="8"/>
          </reference>
        </references>
      </pivotArea>
    </chartFormat>
    <chartFormat chart="7" format="6">
      <pivotArea type="data" outline="0" fieldPosition="0">
        <references count="2">
          <reference field="4294967294" count="1" selected="0">
            <x v="0"/>
          </reference>
          <reference field="2" count="1" selected="0">
            <x v="5"/>
          </reference>
        </references>
      </pivotArea>
    </chartFormat>
    <chartFormat chart="7" format="7">
      <pivotArea type="data" outline="0" fieldPosition="0">
        <references count="2">
          <reference field="4294967294" count="1" selected="0">
            <x v="0"/>
          </reference>
          <reference field="2" count="1" selected="0">
            <x v="2"/>
          </reference>
        </references>
      </pivotArea>
    </chartFormat>
    <chartFormat chart="7" format="8">
      <pivotArea type="data" outline="0" fieldPosition="0">
        <references count="2">
          <reference field="4294967294" count="1" selected="0">
            <x v="0"/>
          </reference>
          <reference field="2" count="1" selected="0">
            <x v="6"/>
          </reference>
        </references>
      </pivotArea>
    </chartFormat>
    <chartFormat chart="15" format="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2" rowHeaderCaption="Department">
  <location ref="A3:B15" firstHeaderRow="1" firstDataRow="1" firstDataCol="1"/>
  <pivotFields count="5">
    <pivotField showAll="0"/>
    <pivotField showAll="0"/>
    <pivotField axis="axisRow" showAll="0" sortType="ascending">
      <items count="14">
        <item sd="0" x="0"/>
        <item sd="0" x="1"/>
        <item sd="0" x="2"/>
        <item sd="0" x="3"/>
        <item sd="0" x="4"/>
        <item sd="0" x="5"/>
        <item sd="0" x="6"/>
        <item sd="0" x="7"/>
        <item sd="0" x="8"/>
        <item h="1" sd="0" x="9"/>
        <item sd="0" x="10"/>
        <item sd="0" x="11"/>
        <item sd="0" x="12"/>
        <item t="default"/>
      </items>
      <autoSortScope>
        <pivotArea dataOnly="0" outline="0" fieldPosition="0">
          <references count="1">
            <reference field="4294967294" count="1" selected="0">
              <x v="0"/>
            </reference>
          </references>
        </pivotArea>
      </autoSortScope>
    </pivotField>
    <pivotField axis="axisRow" showAll="0">
      <items count="16">
        <item h="1" x="7"/>
        <item x="13"/>
        <item x="8"/>
        <item x="1"/>
        <item x="3"/>
        <item x="11"/>
        <item x="12"/>
        <item x="9"/>
        <item x="5"/>
        <item x="6"/>
        <item x="10"/>
        <item x="4"/>
        <item x="2"/>
        <item x="14"/>
        <item x="0"/>
        <item t="default"/>
      </items>
    </pivotField>
    <pivotField dataField="1" showAll="0"/>
  </pivotFields>
  <rowFields count="2">
    <field x="2"/>
    <field x="3"/>
  </rowFields>
  <rowItems count="12">
    <i>
      <x v="3"/>
    </i>
    <i>
      <x v="7"/>
    </i>
    <i>
      <x v="4"/>
    </i>
    <i>
      <x v="1"/>
    </i>
    <i>
      <x/>
    </i>
    <i>
      <x v="6"/>
    </i>
    <i>
      <x v="2"/>
    </i>
    <i>
      <x v="5"/>
    </i>
    <i>
      <x v="8"/>
    </i>
    <i>
      <x v="12"/>
    </i>
    <i>
      <x v="10"/>
    </i>
    <i>
      <x v="11"/>
    </i>
  </rowItems>
  <colItems count="1">
    <i/>
  </colItems>
  <dataFields count="1">
    <dataField name="Sum of Equipment Count" fld="4"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0" rowHeaderCaption="Equipment Class">
  <location ref="A3:B17" firstHeaderRow="1" firstDataRow="1" firstDataCol="1"/>
  <pivotFields count="5">
    <pivotField showAll="0"/>
    <pivotField showAll="0"/>
    <pivotField axis="axisRow" showAll="0">
      <items count="14">
        <item x="0"/>
        <item x="1"/>
        <item x="2"/>
        <item x="3"/>
        <item x="4"/>
        <item x="5"/>
        <item x="6"/>
        <item x="7"/>
        <item h="1" x="8"/>
        <item x="9"/>
        <item x="10"/>
        <item x="11"/>
        <item x="12"/>
        <item t="default"/>
      </items>
    </pivotField>
    <pivotField axis="axisRow" showAll="0" sortType="ascending">
      <items count="16">
        <item h="1" sd="0" x="7"/>
        <item sd="0" x="13"/>
        <item sd="0" x="8"/>
        <item sd="0" x="1"/>
        <item sd="0" x="3"/>
        <item sd="0" x="11"/>
        <item sd="0" x="12"/>
        <item sd="0" x="9"/>
        <item sd="0" x="5"/>
        <item sd="0" x="6"/>
        <item sd="0" x="10"/>
        <item sd="0" x="4"/>
        <item sd="0" x="2"/>
        <item sd="0" x="14"/>
        <item sd="0" x="0"/>
        <item t="default"/>
      </items>
      <autoSortScope>
        <pivotArea dataOnly="0" outline="0" fieldPosition="0">
          <references count="1">
            <reference field="4294967294" count="1" selected="0">
              <x v="0"/>
            </reference>
          </references>
        </pivotArea>
      </autoSortScope>
    </pivotField>
    <pivotField dataField="1" showAll="0">
      <items count="22">
        <item x="0"/>
        <item x="1"/>
        <item x="4"/>
        <item x="13"/>
        <item x="18"/>
        <item x="12"/>
        <item x="3"/>
        <item x="2"/>
        <item x="5"/>
        <item x="11"/>
        <item x="10"/>
        <item x="7"/>
        <item x="6"/>
        <item x="14"/>
        <item x="9"/>
        <item x="16"/>
        <item x="8"/>
        <item x="17"/>
        <item x="15"/>
        <item x="19"/>
        <item x="20"/>
        <item t="default"/>
      </items>
    </pivotField>
  </pivotFields>
  <rowFields count="2">
    <field x="3"/>
    <field x="2"/>
  </rowFields>
  <rowItems count="14">
    <i>
      <x v="13"/>
    </i>
    <i>
      <x v="6"/>
    </i>
    <i>
      <x v="2"/>
    </i>
    <i>
      <x v="5"/>
    </i>
    <i>
      <x v="1"/>
    </i>
    <i>
      <x v="7"/>
    </i>
    <i>
      <x v="10"/>
    </i>
    <i>
      <x v="8"/>
    </i>
    <i>
      <x v="9"/>
    </i>
    <i>
      <x v="12"/>
    </i>
    <i>
      <x v="3"/>
    </i>
    <i>
      <x v="4"/>
    </i>
    <i>
      <x v="14"/>
    </i>
    <i>
      <x v="11"/>
    </i>
  </rowItems>
  <colItems count="1">
    <i/>
  </colItems>
  <dataFields count="1">
    <dataField name="Sum of Equipment Count" fld="4"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quipment_Class" xr10:uid="{089C7299-5D33-4D5A-A6D0-505C17CB586F}" sourceName="Equipment Class">
  <pivotTables>
    <pivotTable tabId="4" name="PivotTable7"/>
    <pivotTable tabId="2" name="PivotTable5"/>
    <pivotTable tabId="3" name="PivotTable6"/>
  </pivotTables>
  <data>
    <tabular pivotCacheId="1376135502">
      <items count="15">
        <i x="7"/>
        <i x="13" s="1"/>
        <i x="8" s="1"/>
        <i x="1" s="1"/>
        <i x="3" s="1"/>
        <i x="11" s="1"/>
        <i x="12" s="1"/>
        <i x="9" s="1"/>
        <i x="5" s="1"/>
        <i x="6" s="1"/>
        <i x="10" s="1"/>
        <i x="4" s="1"/>
        <i x="2" s="1"/>
        <i x="1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Department" xr10:uid="{31D936F3-17D5-4B81-863D-F77157085747}" sourceName="New Department">
  <pivotTables>
    <pivotTable tabId="4" name="PivotTable7"/>
  </pivotTables>
  <data>
    <tabular pivotCacheId="1376135502">
      <items count="13">
        <i x="0" s="1"/>
        <i x="1" s="1"/>
        <i x="2" s="1"/>
        <i x="3" s="1"/>
        <i x="4" s="1"/>
        <i x="5" s="1"/>
        <i x="6" s="1"/>
        <i x="7" s="1"/>
        <i x="8"/>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quipment Class" xr10:uid="{DEDBE919-1378-4B95-80C8-A834E2A0521E}" cache="Slicer_Equipment_Class" caption="Equipment Class" rowHeight="144000"/>
  <slicer name="New Department" xr10:uid="{ED8657E2-99FF-4077-9541-8F57150A8E2A}" cache="Slicer_New_Department" caption="New Department" startItem="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54" totalsRowShown="0">
  <autoFilter ref="A1:E54" xr:uid="{00000000-0009-0000-0100-000001000000}"/>
  <tableColumns count="5">
    <tableColumn id="1" xr3:uid="{00000000-0010-0000-0000-000001000000}" name="Department"/>
    <tableColumn id="2" xr3:uid="{00000000-0010-0000-0000-000002000000}" name="Department2"/>
    <tableColumn id="3" xr3:uid="{00000000-0010-0000-0000-000003000000}" name="New Department"/>
    <tableColumn id="4" xr3:uid="{00000000-0010-0000-0000-000004000000}" name="Equipment Class"/>
    <tableColumn id="5" xr3:uid="{00000000-0010-0000-0000-000005000000}" name="Equipment 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5"/>
  <sheetViews>
    <sheetView workbookViewId="0">
      <selection activeCell="J8" sqref="J8"/>
    </sheetView>
  </sheetViews>
  <sheetFormatPr defaultRowHeight="14.4" x14ac:dyDescent="0.3"/>
  <cols>
    <col min="1" max="1" width="29.21875" bestFit="1" customWidth="1"/>
    <col min="2" max="2" width="22.5546875" bestFit="1" customWidth="1"/>
  </cols>
  <sheetData>
    <row r="3" spans="1:2" x14ac:dyDescent="0.3">
      <c r="A3" s="1" t="s">
        <v>41</v>
      </c>
      <c r="B3" t="s">
        <v>61</v>
      </c>
    </row>
    <row r="4" spans="1:2" x14ac:dyDescent="0.3">
      <c r="A4" t="s">
        <v>45</v>
      </c>
      <c r="B4" s="4">
        <v>1.937984496124031E-3</v>
      </c>
    </row>
    <row r="5" spans="1:2" x14ac:dyDescent="0.3">
      <c r="A5" t="s">
        <v>49</v>
      </c>
      <c r="B5" s="4">
        <v>1.937984496124031E-3</v>
      </c>
    </row>
    <row r="6" spans="1:2" x14ac:dyDescent="0.3">
      <c r="A6" t="s">
        <v>46</v>
      </c>
      <c r="B6" s="4">
        <v>1.937984496124031E-3</v>
      </c>
    </row>
    <row r="7" spans="1:2" x14ac:dyDescent="0.3">
      <c r="A7" t="s">
        <v>43</v>
      </c>
      <c r="B7" s="4">
        <v>1.937984496124031E-3</v>
      </c>
    </row>
    <row r="8" spans="1:2" x14ac:dyDescent="0.3">
      <c r="A8" t="s">
        <v>42</v>
      </c>
      <c r="B8" s="4">
        <v>5.8139534883720929E-3</v>
      </c>
    </row>
    <row r="9" spans="1:2" x14ac:dyDescent="0.3">
      <c r="A9" t="s">
        <v>48</v>
      </c>
      <c r="B9" s="4">
        <v>9.6899224806201549E-3</v>
      </c>
    </row>
    <row r="10" spans="1:2" x14ac:dyDescent="0.3">
      <c r="A10" t="s">
        <v>44</v>
      </c>
      <c r="B10" s="4">
        <v>3.294573643410853E-2</v>
      </c>
    </row>
    <row r="11" spans="1:2" x14ac:dyDescent="0.3">
      <c r="A11" t="s">
        <v>47</v>
      </c>
      <c r="B11" s="4">
        <v>5.4263565891472867E-2</v>
      </c>
    </row>
    <row r="12" spans="1:2" x14ac:dyDescent="0.3">
      <c r="A12" t="s">
        <v>50</v>
      </c>
      <c r="B12" s="4">
        <v>0.1375968992248062</v>
      </c>
    </row>
    <row r="13" spans="1:2" x14ac:dyDescent="0.3">
      <c r="A13" t="s">
        <v>54</v>
      </c>
      <c r="B13" s="4">
        <v>0.17635658914728683</v>
      </c>
    </row>
    <row r="14" spans="1:2" x14ac:dyDescent="0.3">
      <c r="A14" t="s">
        <v>52</v>
      </c>
      <c r="B14" s="4">
        <v>0.19379844961240311</v>
      </c>
    </row>
    <row r="15" spans="1:2" x14ac:dyDescent="0.3">
      <c r="A15" t="s">
        <v>53</v>
      </c>
      <c r="B15" s="4">
        <v>0.38178294573643412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5"/>
  <sheetViews>
    <sheetView workbookViewId="0">
      <selection activeCell="K20" sqref="K20"/>
    </sheetView>
  </sheetViews>
  <sheetFormatPr defaultRowHeight="14.4" x14ac:dyDescent="0.3"/>
  <cols>
    <col min="1" max="1" width="32.21875" bestFit="1" customWidth="1"/>
    <col min="2" max="2" width="22.5546875" bestFit="1" customWidth="1"/>
  </cols>
  <sheetData>
    <row r="3" spans="1:2" x14ac:dyDescent="0.3">
      <c r="A3" s="1" t="s">
        <v>0</v>
      </c>
      <c r="B3" t="s">
        <v>61</v>
      </c>
    </row>
    <row r="4" spans="1:2" x14ac:dyDescent="0.3">
      <c r="A4" s="2" t="s">
        <v>45</v>
      </c>
      <c r="B4" s="3">
        <v>1</v>
      </c>
    </row>
    <row r="5" spans="1:2" x14ac:dyDescent="0.3">
      <c r="A5" s="2" t="s">
        <v>49</v>
      </c>
      <c r="B5" s="3">
        <v>1</v>
      </c>
    </row>
    <row r="6" spans="1:2" x14ac:dyDescent="0.3">
      <c r="A6" s="2" t="s">
        <v>46</v>
      </c>
      <c r="B6" s="3">
        <v>1</v>
      </c>
    </row>
    <row r="7" spans="1:2" x14ac:dyDescent="0.3">
      <c r="A7" s="2" t="s">
        <v>43</v>
      </c>
      <c r="B7" s="3">
        <v>1</v>
      </c>
    </row>
    <row r="8" spans="1:2" x14ac:dyDescent="0.3">
      <c r="A8" s="2" t="s">
        <v>42</v>
      </c>
      <c r="B8" s="3">
        <v>3</v>
      </c>
    </row>
    <row r="9" spans="1:2" x14ac:dyDescent="0.3">
      <c r="A9" s="2" t="s">
        <v>48</v>
      </c>
      <c r="B9" s="3">
        <v>5</v>
      </c>
    </row>
    <row r="10" spans="1:2" x14ac:dyDescent="0.3">
      <c r="A10" s="2" t="s">
        <v>44</v>
      </c>
      <c r="B10" s="3">
        <v>17</v>
      </c>
    </row>
    <row r="11" spans="1:2" x14ac:dyDescent="0.3">
      <c r="A11" s="2" t="s">
        <v>47</v>
      </c>
      <c r="B11" s="3">
        <v>28</v>
      </c>
    </row>
    <row r="12" spans="1:2" x14ac:dyDescent="0.3">
      <c r="A12" s="2" t="s">
        <v>50</v>
      </c>
      <c r="B12" s="3">
        <v>71</v>
      </c>
    </row>
    <row r="13" spans="1:2" x14ac:dyDescent="0.3">
      <c r="A13" s="2" t="s">
        <v>54</v>
      </c>
      <c r="B13" s="3">
        <v>91</v>
      </c>
    </row>
    <row r="14" spans="1:2" x14ac:dyDescent="0.3">
      <c r="A14" s="2" t="s">
        <v>52</v>
      </c>
      <c r="B14" s="3">
        <v>100</v>
      </c>
    </row>
    <row r="15" spans="1:2" x14ac:dyDescent="0.3">
      <c r="A15" s="2" t="s">
        <v>53</v>
      </c>
      <c r="B15" s="3">
        <v>197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7"/>
  <sheetViews>
    <sheetView workbookViewId="0">
      <selection activeCell="N8" sqref="N8"/>
    </sheetView>
  </sheetViews>
  <sheetFormatPr defaultRowHeight="14.4" x14ac:dyDescent="0.3"/>
  <cols>
    <col min="1" max="1" width="27" bestFit="1" customWidth="1"/>
    <col min="2" max="2" width="22.5546875" bestFit="1" customWidth="1"/>
  </cols>
  <sheetData>
    <row r="3" spans="1:2" x14ac:dyDescent="0.3">
      <c r="A3" s="1" t="s">
        <v>1</v>
      </c>
      <c r="B3" t="s">
        <v>61</v>
      </c>
    </row>
    <row r="4" spans="1:2" x14ac:dyDescent="0.3">
      <c r="A4" s="2" t="s">
        <v>35</v>
      </c>
      <c r="B4" s="3">
        <v>1</v>
      </c>
    </row>
    <row r="5" spans="1:2" x14ac:dyDescent="0.3">
      <c r="A5" s="2" t="s">
        <v>33</v>
      </c>
      <c r="B5" s="3">
        <v>2</v>
      </c>
    </row>
    <row r="6" spans="1:2" x14ac:dyDescent="0.3">
      <c r="A6" s="2" t="s">
        <v>25</v>
      </c>
      <c r="B6" s="3">
        <v>3</v>
      </c>
    </row>
    <row r="7" spans="1:2" x14ac:dyDescent="0.3">
      <c r="A7" s="2" t="s">
        <v>32</v>
      </c>
      <c r="B7" s="3">
        <v>4</v>
      </c>
    </row>
    <row r="8" spans="1:2" x14ac:dyDescent="0.3">
      <c r="A8" s="2" t="s">
        <v>34</v>
      </c>
      <c r="B8" s="3">
        <v>6</v>
      </c>
    </row>
    <row r="9" spans="1:2" x14ac:dyDescent="0.3">
      <c r="A9" s="2" t="s">
        <v>29</v>
      </c>
      <c r="B9" s="3">
        <v>12</v>
      </c>
    </row>
    <row r="10" spans="1:2" x14ac:dyDescent="0.3">
      <c r="A10" s="2" t="s">
        <v>31</v>
      </c>
      <c r="B10" s="3">
        <v>12</v>
      </c>
    </row>
    <row r="11" spans="1:2" x14ac:dyDescent="0.3">
      <c r="A11" s="2" t="s">
        <v>30</v>
      </c>
      <c r="B11" s="3">
        <v>19</v>
      </c>
    </row>
    <row r="12" spans="1:2" x14ac:dyDescent="0.3">
      <c r="A12" s="2" t="s">
        <v>22</v>
      </c>
      <c r="B12" s="3">
        <v>33</v>
      </c>
    </row>
    <row r="13" spans="1:2" x14ac:dyDescent="0.3">
      <c r="A13" s="2" t="s">
        <v>8</v>
      </c>
      <c r="B13" s="3">
        <v>34</v>
      </c>
    </row>
    <row r="14" spans="1:2" x14ac:dyDescent="0.3">
      <c r="A14" s="2" t="s">
        <v>39</v>
      </c>
      <c r="B14" s="3">
        <v>59</v>
      </c>
    </row>
    <row r="15" spans="1:2" x14ac:dyDescent="0.3">
      <c r="A15" s="2" t="s">
        <v>18</v>
      </c>
      <c r="B15" s="3">
        <v>69</v>
      </c>
    </row>
    <row r="16" spans="1:2" x14ac:dyDescent="0.3">
      <c r="A16" s="2" t="s">
        <v>5</v>
      </c>
      <c r="B16" s="3">
        <v>70</v>
      </c>
    </row>
    <row r="17" spans="1:2" x14ac:dyDescent="0.3">
      <c r="A17" s="2" t="s">
        <v>13</v>
      </c>
      <c r="B17" s="3">
        <v>124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0"/>
  <sheetViews>
    <sheetView topLeftCell="C3" zoomScale="106" zoomScaleNormal="106" workbookViewId="0">
      <selection activeCell="H22" sqref="H22"/>
    </sheetView>
  </sheetViews>
  <sheetFormatPr defaultRowHeight="14.4" x14ac:dyDescent="0.3"/>
  <cols>
    <col min="1" max="1" width="25.109375" hidden="1" customWidth="1"/>
    <col min="2" max="2" width="18.6640625" hidden="1" customWidth="1"/>
    <col min="3" max="3" width="37.88671875" customWidth="1"/>
    <col min="4" max="4" width="33.6640625" customWidth="1"/>
    <col min="5" max="5" width="20.6640625" customWidth="1"/>
    <col min="8" max="8" width="14" customWidth="1"/>
  </cols>
  <sheetData>
    <row r="1" spans="1:5" x14ac:dyDescent="0.3">
      <c r="A1" t="s">
        <v>0</v>
      </c>
      <c r="B1" t="s">
        <v>55</v>
      </c>
      <c r="C1" t="s">
        <v>41</v>
      </c>
      <c r="D1" t="s">
        <v>1</v>
      </c>
      <c r="E1" t="s">
        <v>2</v>
      </c>
    </row>
    <row r="2" spans="1:5" x14ac:dyDescent="0.3">
      <c r="A2" t="s">
        <v>3</v>
      </c>
      <c r="B2" t="s">
        <v>4</v>
      </c>
      <c r="C2" t="s">
        <v>42</v>
      </c>
      <c r="D2" t="s">
        <v>5</v>
      </c>
      <c r="E2">
        <v>1</v>
      </c>
    </row>
    <row r="3" spans="1:5" x14ac:dyDescent="0.3">
      <c r="A3" t="s">
        <v>3</v>
      </c>
      <c r="B3" t="s">
        <v>4</v>
      </c>
      <c r="C3" t="s">
        <v>42</v>
      </c>
      <c r="D3" t="s">
        <v>39</v>
      </c>
      <c r="E3">
        <v>2</v>
      </c>
    </row>
    <row r="4" spans="1:5" x14ac:dyDescent="0.3">
      <c r="A4" t="s">
        <v>6</v>
      </c>
      <c r="B4" t="s">
        <v>7</v>
      </c>
      <c r="C4" t="s">
        <v>43</v>
      </c>
      <c r="D4" t="s">
        <v>8</v>
      </c>
      <c r="E4">
        <v>1</v>
      </c>
    </row>
    <row r="5" spans="1:5" x14ac:dyDescent="0.3">
      <c r="A5" t="s">
        <v>9</v>
      </c>
      <c r="B5" t="s">
        <v>10</v>
      </c>
      <c r="C5" t="s">
        <v>44</v>
      </c>
      <c r="D5" t="s">
        <v>18</v>
      </c>
      <c r="E5">
        <v>8</v>
      </c>
    </row>
    <row r="6" spans="1:5" x14ac:dyDescent="0.3">
      <c r="A6" t="s">
        <v>9</v>
      </c>
      <c r="B6" t="s">
        <v>10</v>
      </c>
      <c r="C6" t="s">
        <v>44</v>
      </c>
      <c r="D6" t="s">
        <v>39</v>
      </c>
      <c r="E6">
        <v>7</v>
      </c>
    </row>
    <row r="7" spans="1:5" x14ac:dyDescent="0.3">
      <c r="A7" t="s">
        <v>9</v>
      </c>
      <c r="B7" t="s">
        <v>10</v>
      </c>
      <c r="C7" t="s">
        <v>44</v>
      </c>
      <c r="D7" t="s">
        <v>8</v>
      </c>
      <c r="E7">
        <v>2</v>
      </c>
    </row>
    <row r="8" spans="1:5" x14ac:dyDescent="0.3">
      <c r="A8" t="s">
        <v>11</v>
      </c>
      <c r="B8" t="s">
        <v>12</v>
      </c>
      <c r="C8" t="s">
        <v>45</v>
      </c>
      <c r="D8" t="s">
        <v>13</v>
      </c>
      <c r="E8">
        <v>1</v>
      </c>
    </row>
    <row r="9" spans="1:5" x14ac:dyDescent="0.3">
      <c r="A9" t="s">
        <v>14</v>
      </c>
      <c r="B9" t="s">
        <v>15</v>
      </c>
      <c r="C9" t="s">
        <v>46</v>
      </c>
      <c r="D9" t="s">
        <v>13</v>
      </c>
      <c r="E9">
        <v>1</v>
      </c>
    </row>
    <row r="10" spans="1:5" x14ac:dyDescent="0.3">
      <c r="A10" t="s">
        <v>16</v>
      </c>
      <c r="B10" t="s">
        <v>17</v>
      </c>
      <c r="C10" t="s">
        <v>47</v>
      </c>
      <c r="D10" t="s">
        <v>39</v>
      </c>
      <c r="E10">
        <v>3</v>
      </c>
    </row>
    <row r="11" spans="1:5" x14ac:dyDescent="0.3">
      <c r="A11" t="s">
        <v>16</v>
      </c>
      <c r="B11" t="s">
        <v>17</v>
      </c>
      <c r="C11" t="s">
        <v>47</v>
      </c>
      <c r="D11" t="s">
        <v>30</v>
      </c>
      <c r="E11">
        <v>1</v>
      </c>
    </row>
    <row r="12" spans="1:5" x14ac:dyDescent="0.3">
      <c r="A12" t="s">
        <v>16</v>
      </c>
      <c r="B12" t="s">
        <v>17</v>
      </c>
      <c r="C12" t="s">
        <v>47</v>
      </c>
      <c r="D12" t="s">
        <v>22</v>
      </c>
      <c r="E12">
        <v>2</v>
      </c>
    </row>
    <row r="13" spans="1:5" x14ac:dyDescent="0.3">
      <c r="A13" t="s">
        <v>16</v>
      </c>
      <c r="B13" t="s">
        <v>17</v>
      </c>
      <c r="C13" t="s">
        <v>47</v>
      </c>
      <c r="D13" t="s">
        <v>8</v>
      </c>
      <c r="E13">
        <v>3</v>
      </c>
    </row>
    <row r="14" spans="1:5" x14ac:dyDescent="0.3">
      <c r="A14" t="s">
        <v>16</v>
      </c>
      <c r="B14" t="s">
        <v>17</v>
      </c>
      <c r="C14" t="s">
        <v>47</v>
      </c>
      <c r="D14" t="s">
        <v>18</v>
      </c>
      <c r="E14">
        <v>1</v>
      </c>
    </row>
    <row r="15" spans="1:5" x14ac:dyDescent="0.3">
      <c r="A15" t="s">
        <v>16</v>
      </c>
      <c r="B15" t="s">
        <v>17</v>
      </c>
      <c r="C15" t="s">
        <v>47</v>
      </c>
      <c r="D15" t="s">
        <v>5</v>
      </c>
      <c r="E15">
        <v>8</v>
      </c>
    </row>
    <row r="16" spans="1:5" x14ac:dyDescent="0.3">
      <c r="A16" t="s">
        <v>16</v>
      </c>
      <c r="B16" t="s">
        <v>17</v>
      </c>
      <c r="C16" t="s">
        <v>47</v>
      </c>
      <c r="D16" t="s">
        <v>13</v>
      </c>
      <c r="E16">
        <v>10</v>
      </c>
    </row>
    <row r="17" spans="1:5" x14ac:dyDescent="0.3">
      <c r="A17" t="s">
        <v>16</v>
      </c>
      <c r="B17" t="s">
        <v>17</v>
      </c>
      <c r="C17" t="s">
        <v>47</v>
      </c>
      <c r="D17" t="s">
        <v>19</v>
      </c>
      <c r="E17">
        <v>1</v>
      </c>
    </row>
    <row r="18" spans="1:5" x14ac:dyDescent="0.3">
      <c r="A18" t="s">
        <v>20</v>
      </c>
      <c r="B18" t="s">
        <v>21</v>
      </c>
      <c r="C18" t="s">
        <v>48</v>
      </c>
      <c r="D18" t="s">
        <v>13</v>
      </c>
      <c r="E18">
        <v>2</v>
      </c>
    </row>
    <row r="19" spans="1:5" x14ac:dyDescent="0.3">
      <c r="A19" t="s">
        <v>20</v>
      </c>
      <c r="B19" t="s">
        <v>21</v>
      </c>
      <c r="C19" t="s">
        <v>48</v>
      </c>
      <c r="D19" t="s">
        <v>22</v>
      </c>
      <c r="E19">
        <v>3</v>
      </c>
    </row>
    <row r="20" spans="1:5" x14ac:dyDescent="0.3">
      <c r="A20" t="s">
        <v>23</v>
      </c>
      <c r="B20" t="s">
        <v>24</v>
      </c>
      <c r="C20" t="s">
        <v>49</v>
      </c>
      <c r="D20" t="s">
        <v>8</v>
      </c>
      <c r="E20">
        <v>1</v>
      </c>
    </row>
    <row r="21" spans="1:5" x14ac:dyDescent="0.3">
      <c r="A21" t="s">
        <v>40</v>
      </c>
      <c r="B21" t="s">
        <v>15</v>
      </c>
      <c r="C21" t="s">
        <v>50</v>
      </c>
      <c r="D21" t="s">
        <v>8</v>
      </c>
      <c r="E21">
        <v>18</v>
      </c>
    </row>
    <row r="22" spans="1:5" x14ac:dyDescent="0.3">
      <c r="A22" t="s">
        <v>40</v>
      </c>
      <c r="B22" t="s">
        <v>15</v>
      </c>
      <c r="C22" t="s">
        <v>50</v>
      </c>
      <c r="D22" t="s">
        <v>13</v>
      </c>
      <c r="E22">
        <v>15</v>
      </c>
    </row>
    <row r="23" spans="1:5" x14ac:dyDescent="0.3">
      <c r="A23" t="s">
        <v>40</v>
      </c>
      <c r="B23" t="s">
        <v>15</v>
      </c>
      <c r="C23" t="s">
        <v>50</v>
      </c>
      <c r="D23" t="s">
        <v>5</v>
      </c>
      <c r="E23">
        <v>3</v>
      </c>
    </row>
    <row r="24" spans="1:5" x14ac:dyDescent="0.3">
      <c r="A24" t="s">
        <v>40</v>
      </c>
      <c r="B24" t="s">
        <v>15</v>
      </c>
      <c r="C24" t="s">
        <v>50</v>
      </c>
      <c r="D24" t="s">
        <v>19</v>
      </c>
      <c r="E24">
        <v>1</v>
      </c>
    </row>
    <row r="25" spans="1:5" x14ac:dyDescent="0.3">
      <c r="A25" t="s">
        <v>40</v>
      </c>
      <c r="B25" t="s">
        <v>15</v>
      </c>
      <c r="C25" t="s">
        <v>50</v>
      </c>
      <c r="D25" t="s">
        <v>25</v>
      </c>
      <c r="E25">
        <v>2</v>
      </c>
    </row>
    <row r="26" spans="1:5" x14ac:dyDescent="0.3">
      <c r="A26" t="s">
        <v>40</v>
      </c>
      <c r="B26" t="s">
        <v>15</v>
      </c>
      <c r="C26" t="s">
        <v>50</v>
      </c>
      <c r="D26" t="s">
        <v>18</v>
      </c>
      <c r="E26">
        <v>33</v>
      </c>
    </row>
    <row r="27" spans="1:5" x14ac:dyDescent="0.3">
      <c r="A27" t="s">
        <v>26</v>
      </c>
      <c r="C27" t="s">
        <v>51</v>
      </c>
      <c r="D27" t="s">
        <v>13</v>
      </c>
      <c r="E27">
        <v>3</v>
      </c>
    </row>
    <row r="28" spans="1:5" x14ac:dyDescent="0.3">
      <c r="A28" t="s">
        <v>27</v>
      </c>
      <c r="B28" t="s">
        <v>28</v>
      </c>
      <c r="C28" t="s">
        <v>52</v>
      </c>
      <c r="D28" t="s">
        <v>22</v>
      </c>
      <c r="E28">
        <v>27</v>
      </c>
    </row>
    <row r="29" spans="1:5" x14ac:dyDescent="0.3">
      <c r="A29" t="s">
        <v>27</v>
      </c>
      <c r="B29" t="s">
        <v>28</v>
      </c>
      <c r="C29" t="s">
        <v>52</v>
      </c>
      <c r="D29" t="s">
        <v>29</v>
      </c>
      <c r="E29">
        <v>12</v>
      </c>
    </row>
    <row r="30" spans="1:5" x14ac:dyDescent="0.3">
      <c r="A30" t="s">
        <v>27</v>
      </c>
      <c r="B30" t="s">
        <v>28</v>
      </c>
      <c r="C30" t="s">
        <v>52</v>
      </c>
      <c r="D30" t="s">
        <v>30</v>
      </c>
      <c r="E30">
        <v>18</v>
      </c>
    </row>
    <row r="31" spans="1:5" x14ac:dyDescent="0.3">
      <c r="A31" t="s">
        <v>27</v>
      </c>
      <c r="B31" t="s">
        <v>28</v>
      </c>
      <c r="C31" t="s">
        <v>52</v>
      </c>
      <c r="D31" t="s">
        <v>31</v>
      </c>
      <c r="E31">
        <v>11</v>
      </c>
    </row>
    <row r="32" spans="1:5" x14ac:dyDescent="0.3">
      <c r="A32" t="s">
        <v>27</v>
      </c>
      <c r="B32" t="s">
        <v>28</v>
      </c>
      <c r="C32" t="s">
        <v>52</v>
      </c>
      <c r="D32" t="s">
        <v>8</v>
      </c>
      <c r="E32">
        <v>6</v>
      </c>
    </row>
    <row r="33" spans="1:5" x14ac:dyDescent="0.3">
      <c r="A33" t="s">
        <v>27</v>
      </c>
      <c r="B33" t="s">
        <v>28</v>
      </c>
      <c r="C33" t="s">
        <v>52</v>
      </c>
      <c r="D33" t="s">
        <v>5</v>
      </c>
      <c r="E33">
        <v>4</v>
      </c>
    </row>
    <row r="34" spans="1:5" x14ac:dyDescent="0.3">
      <c r="A34" t="s">
        <v>27</v>
      </c>
      <c r="B34" t="s">
        <v>28</v>
      </c>
      <c r="C34" t="s">
        <v>52</v>
      </c>
      <c r="D34" t="s">
        <v>39</v>
      </c>
      <c r="E34">
        <v>2</v>
      </c>
    </row>
    <row r="35" spans="1:5" x14ac:dyDescent="0.3">
      <c r="A35" t="s">
        <v>27</v>
      </c>
      <c r="B35" t="s">
        <v>28</v>
      </c>
      <c r="C35" t="s">
        <v>52</v>
      </c>
      <c r="D35" t="s">
        <v>18</v>
      </c>
      <c r="E35">
        <v>12</v>
      </c>
    </row>
    <row r="36" spans="1:5" x14ac:dyDescent="0.3">
      <c r="A36" t="s">
        <v>27</v>
      </c>
      <c r="B36" t="s">
        <v>28</v>
      </c>
      <c r="C36" t="s">
        <v>52</v>
      </c>
      <c r="D36" t="s">
        <v>13</v>
      </c>
      <c r="E36">
        <v>1</v>
      </c>
    </row>
    <row r="37" spans="1:5" x14ac:dyDescent="0.3">
      <c r="A37" t="s">
        <v>27</v>
      </c>
      <c r="B37" t="s">
        <v>28</v>
      </c>
      <c r="C37" t="s">
        <v>52</v>
      </c>
      <c r="D37" t="s">
        <v>32</v>
      </c>
      <c r="E37">
        <v>4</v>
      </c>
    </row>
    <row r="38" spans="1:5" x14ac:dyDescent="0.3">
      <c r="A38" t="s">
        <v>27</v>
      </c>
      <c r="B38" t="s">
        <v>28</v>
      </c>
      <c r="C38" t="s">
        <v>52</v>
      </c>
      <c r="D38" t="s">
        <v>33</v>
      </c>
      <c r="E38">
        <v>1</v>
      </c>
    </row>
    <row r="39" spans="1:5" x14ac:dyDescent="0.3">
      <c r="A39" t="s">
        <v>27</v>
      </c>
      <c r="B39" t="s">
        <v>28</v>
      </c>
      <c r="C39" t="s">
        <v>52</v>
      </c>
      <c r="D39" t="s">
        <v>34</v>
      </c>
      <c r="E39">
        <v>1</v>
      </c>
    </row>
    <row r="40" spans="1:5" x14ac:dyDescent="0.3">
      <c r="A40" t="s">
        <v>27</v>
      </c>
      <c r="B40" t="s">
        <v>28</v>
      </c>
      <c r="C40" t="s">
        <v>52</v>
      </c>
      <c r="D40" t="s">
        <v>35</v>
      </c>
      <c r="E40">
        <v>1</v>
      </c>
    </row>
    <row r="41" spans="1:5" x14ac:dyDescent="0.3">
      <c r="A41" t="s">
        <v>36</v>
      </c>
      <c r="B41" t="s">
        <v>37</v>
      </c>
      <c r="C41" t="s">
        <v>53</v>
      </c>
      <c r="D41" t="s">
        <v>31</v>
      </c>
      <c r="E41">
        <v>1</v>
      </c>
    </row>
    <row r="42" spans="1:5" x14ac:dyDescent="0.3">
      <c r="A42" t="s">
        <v>36</v>
      </c>
      <c r="B42" t="s">
        <v>37</v>
      </c>
      <c r="C42" t="s">
        <v>53</v>
      </c>
      <c r="D42" t="s">
        <v>8</v>
      </c>
      <c r="E42">
        <v>21</v>
      </c>
    </row>
    <row r="43" spans="1:5" x14ac:dyDescent="0.3">
      <c r="A43" t="s">
        <v>36</v>
      </c>
      <c r="B43" t="s">
        <v>37</v>
      </c>
      <c r="C43" t="s">
        <v>53</v>
      </c>
      <c r="D43" t="s">
        <v>33</v>
      </c>
      <c r="E43">
        <v>1</v>
      </c>
    </row>
    <row r="44" spans="1:5" x14ac:dyDescent="0.3">
      <c r="A44" t="s">
        <v>36</v>
      </c>
      <c r="B44" t="s">
        <v>37</v>
      </c>
      <c r="C44" t="s">
        <v>53</v>
      </c>
      <c r="D44" t="s">
        <v>39</v>
      </c>
      <c r="E44">
        <v>45</v>
      </c>
    </row>
    <row r="45" spans="1:5" x14ac:dyDescent="0.3">
      <c r="A45" t="s">
        <v>36</v>
      </c>
      <c r="B45" t="s">
        <v>37</v>
      </c>
      <c r="C45" t="s">
        <v>53</v>
      </c>
      <c r="D45" t="s">
        <v>13</v>
      </c>
      <c r="E45">
        <v>31</v>
      </c>
    </row>
    <row r="46" spans="1:5" x14ac:dyDescent="0.3">
      <c r="A46" t="s">
        <v>36</v>
      </c>
      <c r="B46" t="s">
        <v>37</v>
      </c>
      <c r="C46" t="s">
        <v>53</v>
      </c>
      <c r="D46" t="s">
        <v>25</v>
      </c>
      <c r="E46">
        <v>3</v>
      </c>
    </row>
    <row r="47" spans="1:5" x14ac:dyDescent="0.3">
      <c r="A47" t="s">
        <v>36</v>
      </c>
      <c r="B47" t="s">
        <v>37</v>
      </c>
      <c r="C47" t="s">
        <v>53</v>
      </c>
      <c r="D47" t="s">
        <v>5</v>
      </c>
      <c r="E47">
        <v>42</v>
      </c>
    </row>
    <row r="48" spans="1:5" x14ac:dyDescent="0.3">
      <c r="A48" t="s">
        <v>36</v>
      </c>
      <c r="B48" t="s">
        <v>37</v>
      </c>
      <c r="C48" t="s">
        <v>53</v>
      </c>
      <c r="D48" t="s">
        <v>19</v>
      </c>
      <c r="E48">
        <v>5</v>
      </c>
    </row>
    <row r="49" spans="1:9" x14ac:dyDescent="0.3">
      <c r="A49" t="s">
        <v>36</v>
      </c>
      <c r="B49" t="s">
        <v>37</v>
      </c>
      <c r="C49" t="s">
        <v>53</v>
      </c>
      <c r="D49" t="s">
        <v>34</v>
      </c>
      <c r="E49">
        <v>5</v>
      </c>
    </row>
    <row r="50" spans="1:9" x14ac:dyDescent="0.3">
      <c r="A50" t="s">
        <v>36</v>
      </c>
      <c r="B50" t="s">
        <v>37</v>
      </c>
      <c r="C50" t="s">
        <v>53</v>
      </c>
      <c r="D50" t="s">
        <v>18</v>
      </c>
      <c r="E50">
        <v>48</v>
      </c>
    </row>
    <row r="51" spans="1:9" x14ac:dyDescent="0.3">
      <c r="A51" t="s">
        <v>38</v>
      </c>
      <c r="B51" t="s">
        <v>37</v>
      </c>
      <c r="C51" t="s">
        <v>54</v>
      </c>
      <c r="D51" t="s">
        <v>19</v>
      </c>
      <c r="E51">
        <v>5</v>
      </c>
    </row>
    <row r="52" spans="1:9" x14ac:dyDescent="0.3">
      <c r="A52" t="s">
        <v>38</v>
      </c>
      <c r="B52" t="s">
        <v>37</v>
      </c>
      <c r="C52" t="s">
        <v>54</v>
      </c>
      <c r="D52" t="s">
        <v>5</v>
      </c>
      <c r="E52">
        <v>15</v>
      </c>
    </row>
    <row r="53" spans="1:9" x14ac:dyDescent="0.3">
      <c r="A53" t="s">
        <v>38</v>
      </c>
      <c r="B53" t="s">
        <v>37</v>
      </c>
      <c r="C53" t="s">
        <v>54</v>
      </c>
      <c r="D53" t="s">
        <v>22</v>
      </c>
      <c r="E53">
        <v>1</v>
      </c>
    </row>
    <row r="54" spans="1:9" x14ac:dyDescent="0.3">
      <c r="A54" t="s">
        <v>38</v>
      </c>
      <c r="B54" t="s">
        <v>37</v>
      </c>
      <c r="C54" t="s">
        <v>54</v>
      </c>
      <c r="D54" t="s">
        <v>13</v>
      </c>
      <c r="E54">
        <v>75</v>
      </c>
    </row>
    <row r="56" spans="1:9" x14ac:dyDescent="0.3">
      <c r="D56" t="s">
        <v>56</v>
      </c>
      <c r="E56">
        <f>SUM(E2:E55)</f>
        <v>531</v>
      </c>
      <c r="H56" t="s">
        <v>62</v>
      </c>
      <c r="I56">
        <v>13</v>
      </c>
    </row>
    <row r="57" spans="1:9" x14ac:dyDescent="0.3">
      <c r="D57" t="s">
        <v>57</v>
      </c>
      <c r="E57">
        <f>AVERAGE(Table1[Equipment Count])</f>
        <v>10.018867924528301</v>
      </c>
      <c r="H57" t="s">
        <v>63</v>
      </c>
      <c r="I57">
        <v>15</v>
      </c>
    </row>
    <row r="58" spans="1:9" x14ac:dyDescent="0.3">
      <c r="D58" t="s">
        <v>58</v>
      </c>
      <c r="E58">
        <f>MIN(Table1[Equipment Count])</f>
        <v>1</v>
      </c>
    </row>
    <row r="59" spans="1:9" x14ac:dyDescent="0.3">
      <c r="D59" t="s">
        <v>59</v>
      </c>
      <c r="E59">
        <f>MAX(Table1[Equipment Count])</f>
        <v>75</v>
      </c>
    </row>
    <row r="60" spans="1:9" x14ac:dyDescent="0.3">
      <c r="D60" t="s">
        <v>60</v>
      </c>
      <c r="E60">
        <f>COUNT(Table1[Equipment Count])</f>
        <v>53</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showRuler="0" view="pageLayout" zoomScale="50" zoomScaleNormal="100" zoomScalePageLayoutView="50" workbookViewId="0">
      <selection activeCell="T8" sqref="T8"/>
    </sheetView>
  </sheetViews>
  <sheetFormatPr defaultRowHeight="14.4" x14ac:dyDescent="0.3"/>
  <sheetData/>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tabSelected="1" zoomScale="89" zoomScaleNormal="89" zoomScalePageLayoutView="59" workbookViewId="0">
      <selection activeCell="P14" sqref="P14"/>
    </sheetView>
  </sheetViews>
  <sheetFormatPr defaultRowHeight="14.4" x14ac:dyDescent="0.3"/>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77E2-2D88-40B8-89D4-73F8536441EE}">
  <dimension ref="A1:D63"/>
  <sheetViews>
    <sheetView workbookViewId="0">
      <selection activeCell="G10" sqref="G10"/>
    </sheetView>
  </sheetViews>
  <sheetFormatPr defaultRowHeight="14.4" x14ac:dyDescent="0.3"/>
  <cols>
    <col min="1" max="1" width="21.6640625" bestFit="1" customWidth="1"/>
    <col min="2" max="2" width="12.33203125" bestFit="1" customWidth="1"/>
    <col min="3" max="3" width="23.77734375" bestFit="1" customWidth="1"/>
    <col min="4" max="4" width="15.109375" bestFit="1" customWidth="1"/>
  </cols>
  <sheetData>
    <row r="1" spans="1:4" x14ac:dyDescent="0.3">
      <c r="A1" t="s">
        <v>0</v>
      </c>
      <c r="B1" t="s">
        <v>0</v>
      </c>
      <c r="C1" t="s">
        <v>1</v>
      </c>
      <c r="D1" t="s">
        <v>2</v>
      </c>
    </row>
    <row r="2" spans="1:4" x14ac:dyDescent="0.3">
      <c r="A2" t="s">
        <v>3</v>
      </c>
      <c r="B2" t="s">
        <v>4</v>
      </c>
      <c r="C2" t="s">
        <v>5</v>
      </c>
      <c r="D2">
        <v>1</v>
      </c>
    </row>
    <row r="3" spans="1:4" x14ac:dyDescent="0.3">
      <c r="A3" t="s">
        <v>3</v>
      </c>
      <c r="B3" t="s">
        <v>4</v>
      </c>
      <c r="C3" t="s">
        <v>64</v>
      </c>
      <c r="D3">
        <v>2</v>
      </c>
    </row>
    <row r="4" spans="1:4" x14ac:dyDescent="0.3">
      <c r="A4" t="s">
        <v>6</v>
      </c>
      <c r="B4" t="s">
        <v>7</v>
      </c>
      <c r="C4" t="s">
        <v>8</v>
      </c>
      <c r="D4">
        <v>1</v>
      </c>
    </row>
    <row r="5" spans="1:4" x14ac:dyDescent="0.3">
      <c r="A5" t="s">
        <v>9</v>
      </c>
      <c r="B5" t="s">
        <v>10</v>
      </c>
      <c r="C5" t="s">
        <v>65</v>
      </c>
      <c r="D5">
        <v>8</v>
      </c>
    </row>
    <row r="6" spans="1:4" x14ac:dyDescent="0.3">
      <c r="A6" t="s">
        <v>9</v>
      </c>
      <c r="B6" t="s">
        <v>10</v>
      </c>
      <c r="C6" t="s">
        <v>64</v>
      </c>
      <c r="D6">
        <v>7</v>
      </c>
    </row>
    <row r="7" spans="1:4" x14ac:dyDescent="0.3">
      <c r="A7" t="s">
        <v>9</v>
      </c>
      <c r="B7" t="s">
        <v>10</v>
      </c>
      <c r="C7" t="s">
        <v>8</v>
      </c>
      <c r="D7">
        <v>2</v>
      </c>
    </row>
    <row r="9" spans="1:4" x14ac:dyDescent="0.3">
      <c r="A9" t="s">
        <v>11</v>
      </c>
      <c r="B9" t="s">
        <v>12</v>
      </c>
      <c r="C9" t="s">
        <v>13</v>
      </c>
      <c r="D9">
        <v>1</v>
      </c>
    </row>
    <row r="10" spans="1:4" x14ac:dyDescent="0.3">
      <c r="A10" t="s">
        <v>11</v>
      </c>
      <c r="B10" t="s">
        <v>12</v>
      </c>
      <c r="C10" t="s">
        <v>13</v>
      </c>
      <c r="D10">
        <v>1</v>
      </c>
    </row>
    <row r="11" spans="1:4" x14ac:dyDescent="0.3">
      <c r="A11" t="s">
        <v>14</v>
      </c>
      <c r="B11" t="s">
        <v>15</v>
      </c>
      <c r="C11" t="s">
        <v>13</v>
      </c>
      <c r="D11">
        <v>1</v>
      </c>
    </row>
    <row r="12" spans="1:4" x14ac:dyDescent="0.3">
      <c r="A12" t="s">
        <v>16</v>
      </c>
      <c r="B12" t="s">
        <v>17</v>
      </c>
      <c r="C12" t="s">
        <v>64</v>
      </c>
      <c r="D12">
        <v>3</v>
      </c>
    </row>
    <row r="13" spans="1:4" x14ac:dyDescent="0.3">
      <c r="A13" t="s">
        <v>16</v>
      </c>
      <c r="B13" t="s">
        <v>66</v>
      </c>
      <c r="C13" t="s">
        <v>67</v>
      </c>
      <c r="D13">
        <v>1</v>
      </c>
    </row>
    <row r="14" spans="1:4" x14ac:dyDescent="0.3">
      <c r="A14" t="s">
        <v>16</v>
      </c>
      <c r="B14" t="s">
        <v>17</v>
      </c>
      <c r="C14" t="s">
        <v>68</v>
      </c>
      <c r="D14">
        <v>2</v>
      </c>
    </row>
    <row r="15" spans="1:4" x14ac:dyDescent="0.3">
      <c r="A15" t="s">
        <v>16</v>
      </c>
      <c r="B15" t="s">
        <v>17</v>
      </c>
      <c r="C15" t="s">
        <v>8</v>
      </c>
      <c r="D15">
        <v>3</v>
      </c>
    </row>
    <row r="16" spans="1:4" x14ac:dyDescent="0.3">
      <c r="A16" t="s">
        <v>16</v>
      </c>
      <c r="B16" t="s">
        <v>17</v>
      </c>
      <c r="C16" t="s">
        <v>18</v>
      </c>
      <c r="D16">
        <v>1</v>
      </c>
    </row>
    <row r="17" spans="1:4" x14ac:dyDescent="0.3">
      <c r="A17" t="s">
        <v>16</v>
      </c>
      <c r="B17" t="s">
        <v>17</v>
      </c>
      <c r="C17" t="s">
        <v>5</v>
      </c>
      <c r="D17">
        <v>8</v>
      </c>
    </row>
    <row r="18" spans="1:4" x14ac:dyDescent="0.3">
      <c r="A18" t="s">
        <v>16</v>
      </c>
      <c r="B18" t="s">
        <v>17</v>
      </c>
      <c r="C18" t="s">
        <v>13</v>
      </c>
      <c r="D18">
        <v>10</v>
      </c>
    </row>
    <row r="19" spans="1:4" x14ac:dyDescent="0.3">
      <c r="A19" t="s">
        <v>16</v>
      </c>
      <c r="B19" t="s">
        <v>17</v>
      </c>
      <c r="C19" t="s">
        <v>19</v>
      </c>
      <c r="D19">
        <v>1</v>
      </c>
    </row>
    <row r="20" spans="1:4" x14ac:dyDescent="0.3">
      <c r="A20" t="s">
        <v>20</v>
      </c>
      <c r="B20" t="s">
        <v>21</v>
      </c>
      <c r="C20" t="s">
        <v>13</v>
      </c>
      <c r="D20">
        <v>2</v>
      </c>
    </row>
    <row r="21" spans="1:4" x14ac:dyDescent="0.3">
      <c r="A21" t="s">
        <v>20</v>
      </c>
      <c r="B21" t="s">
        <v>21</v>
      </c>
      <c r="C21" t="s">
        <v>22</v>
      </c>
      <c r="D21">
        <v>3</v>
      </c>
    </row>
    <row r="22" spans="1:4" x14ac:dyDescent="0.3">
      <c r="A22" t="s">
        <v>23</v>
      </c>
      <c r="B22" t="s">
        <v>24</v>
      </c>
      <c r="C22" t="s">
        <v>8</v>
      </c>
      <c r="D22">
        <v>1</v>
      </c>
    </row>
    <row r="24" spans="1:4" x14ac:dyDescent="0.3">
      <c r="A24" t="s">
        <v>69</v>
      </c>
      <c r="B24" t="s">
        <v>15</v>
      </c>
      <c r="C24" t="s">
        <v>8</v>
      </c>
      <c r="D24">
        <v>18</v>
      </c>
    </row>
    <row r="25" spans="1:4" x14ac:dyDescent="0.3">
      <c r="A25" t="s">
        <v>69</v>
      </c>
      <c r="B25" t="s">
        <v>15</v>
      </c>
      <c r="C25" t="s">
        <v>13</v>
      </c>
      <c r="D25">
        <v>15</v>
      </c>
    </row>
    <row r="26" spans="1:4" x14ac:dyDescent="0.3">
      <c r="A26" t="s">
        <v>69</v>
      </c>
      <c r="B26" t="s">
        <v>15</v>
      </c>
      <c r="C26" t="s">
        <v>5</v>
      </c>
      <c r="D26">
        <v>3</v>
      </c>
    </row>
    <row r="27" spans="1:4" x14ac:dyDescent="0.3">
      <c r="A27" t="s">
        <v>69</v>
      </c>
      <c r="B27" t="s">
        <v>15</v>
      </c>
      <c r="C27" t="s">
        <v>19</v>
      </c>
      <c r="D27">
        <v>1</v>
      </c>
    </row>
    <row r="28" spans="1:4" x14ac:dyDescent="0.3">
      <c r="A28" t="s">
        <v>69</v>
      </c>
      <c r="B28" t="s">
        <v>15</v>
      </c>
      <c r="C28" t="s">
        <v>19</v>
      </c>
      <c r="D28">
        <v>1</v>
      </c>
    </row>
    <row r="29" spans="1:4" x14ac:dyDescent="0.3">
      <c r="A29" t="s">
        <v>69</v>
      </c>
      <c r="B29" t="s">
        <v>15</v>
      </c>
      <c r="C29" t="s">
        <v>25</v>
      </c>
      <c r="D29">
        <v>2</v>
      </c>
    </row>
    <row r="30" spans="1:4" x14ac:dyDescent="0.3">
      <c r="A30" t="s">
        <v>69</v>
      </c>
      <c r="B30" t="s">
        <v>15</v>
      </c>
      <c r="C30" t="s">
        <v>18</v>
      </c>
      <c r="D30">
        <v>33</v>
      </c>
    </row>
    <row r="31" spans="1:4" x14ac:dyDescent="0.3">
      <c r="A31" t="s">
        <v>26</v>
      </c>
      <c r="C31" t="s">
        <v>13</v>
      </c>
      <c r="D31">
        <v>3</v>
      </c>
    </row>
    <row r="32" spans="1:4" x14ac:dyDescent="0.3">
      <c r="A32" t="s">
        <v>27</v>
      </c>
      <c r="B32" t="s">
        <v>28</v>
      </c>
      <c r="C32" t="s">
        <v>22</v>
      </c>
      <c r="D32">
        <v>27</v>
      </c>
    </row>
    <row r="33" spans="1:4" x14ac:dyDescent="0.3">
      <c r="A33" t="s">
        <v>27</v>
      </c>
      <c r="B33" t="s">
        <v>28</v>
      </c>
      <c r="C33" t="s">
        <v>29</v>
      </c>
      <c r="D33">
        <v>12</v>
      </c>
    </row>
    <row r="34" spans="1:4" x14ac:dyDescent="0.3">
      <c r="A34" t="s">
        <v>27</v>
      </c>
      <c r="B34" t="s">
        <v>28</v>
      </c>
      <c r="C34" t="s">
        <v>29</v>
      </c>
      <c r="D34">
        <v>12</v>
      </c>
    </row>
    <row r="35" spans="1:4" x14ac:dyDescent="0.3">
      <c r="A35" t="s">
        <v>27</v>
      </c>
      <c r="B35" t="s">
        <v>28</v>
      </c>
      <c r="C35" t="s">
        <v>30</v>
      </c>
      <c r="D35">
        <v>18</v>
      </c>
    </row>
    <row r="36" spans="1:4" x14ac:dyDescent="0.3">
      <c r="A36" t="s">
        <v>27</v>
      </c>
      <c r="B36" t="s">
        <v>28</v>
      </c>
      <c r="C36" t="s">
        <v>31</v>
      </c>
      <c r="D36">
        <v>11</v>
      </c>
    </row>
    <row r="38" spans="1:4" x14ac:dyDescent="0.3">
      <c r="A38" t="s">
        <v>27</v>
      </c>
      <c r="B38" t="s">
        <v>28</v>
      </c>
      <c r="C38" t="s">
        <v>8</v>
      </c>
      <c r="D38">
        <v>6</v>
      </c>
    </row>
    <row r="39" spans="1:4" x14ac:dyDescent="0.3">
      <c r="A39" t="s">
        <v>27</v>
      </c>
      <c r="B39" t="s">
        <v>28</v>
      </c>
      <c r="C39" t="s">
        <v>5</v>
      </c>
      <c r="D39">
        <v>4</v>
      </c>
    </row>
    <row r="40" spans="1:4" x14ac:dyDescent="0.3">
      <c r="A40" t="s">
        <v>27</v>
      </c>
      <c r="B40" t="s">
        <v>28</v>
      </c>
      <c r="C40" t="s">
        <v>64</v>
      </c>
      <c r="D40">
        <v>2</v>
      </c>
    </row>
    <row r="41" spans="1:4" x14ac:dyDescent="0.3">
      <c r="A41" t="s">
        <v>27</v>
      </c>
      <c r="B41" t="s">
        <v>70</v>
      </c>
      <c r="C41" t="s">
        <v>18</v>
      </c>
      <c r="D41">
        <v>12</v>
      </c>
    </row>
    <row r="42" spans="1:4" x14ac:dyDescent="0.3">
      <c r="A42" t="s">
        <v>27</v>
      </c>
      <c r="B42" t="s">
        <v>28</v>
      </c>
      <c r="C42" t="s">
        <v>13</v>
      </c>
      <c r="D42">
        <v>1</v>
      </c>
    </row>
    <row r="43" spans="1:4" x14ac:dyDescent="0.3">
      <c r="A43" t="s">
        <v>27</v>
      </c>
      <c r="B43" t="s">
        <v>28</v>
      </c>
      <c r="C43" t="s">
        <v>32</v>
      </c>
      <c r="D43">
        <v>4</v>
      </c>
    </row>
    <row r="44" spans="1:4" x14ac:dyDescent="0.3">
      <c r="A44" t="s">
        <v>27</v>
      </c>
      <c r="B44" t="s">
        <v>28</v>
      </c>
      <c r="C44" t="s">
        <v>33</v>
      </c>
      <c r="D44">
        <v>1</v>
      </c>
    </row>
    <row r="45" spans="1:4" x14ac:dyDescent="0.3">
      <c r="A45" t="s">
        <v>27</v>
      </c>
      <c r="B45" t="s">
        <v>28</v>
      </c>
      <c r="C45" t="s">
        <v>34</v>
      </c>
      <c r="D45">
        <v>1</v>
      </c>
    </row>
    <row r="46" spans="1:4" x14ac:dyDescent="0.3">
      <c r="A46" t="s">
        <v>27</v>
      </c>
      <c r="B46" t="s">
        <v>28</v>
      </c>
      <c r="C46" t="s">
        <v>35</v>
      </c>
      <c r="D46">
        <v>1</v>
      </c>
    </row>
    <row r="47" spans="1:4" x14ac:dyDescent="0.3">
      <c r="A47" t="s">
        <v>27</v>
      </c>
      <c r="B47" t="s">
        <v>28</v>
      </c>
      <c r="C47" t="s">
        <v>32</v>
      </c>
      <c r="D47">
        <v>4</v>
      </c>
    </row>
    <row r="50" spans="1:4" x14ac:dyDescent="0.3">
      <c r="A50" t="s">
        <v>36</v>
      </c>
      <c r="B50" t="s">
        <v>37</v>
      </c>
      <c r="C50" t="s">
        <v>31</v>
      </c>
      <c r="D50">
        <v>1</v>
      </c>
    </row>
    <row r="51" spans="1:4" x14ac:dyDescent="0.3">
      <c r="A51" t="s">
        <v>36</v>
      </c>
      <c r="B51" t="s">
        <v>37</v>
      </c>
      <c r="C51" t="s">
        <v>8</v>
      </c>
      <c r="D51">
        <v>21</v>
      </c>
    </row>
    <row r="52" spans="1:4" x14ac:dyDescent="0.3">
      <c r="A52" t="s">
        <v>36</v>
      </c>
      <c r="B52" t="s">
        <v>37</v>
      </c>
      <c r="C52" t="s">
        <v>33</v>
      </c>
      <c r="D52">
        <v>1</v>
      </c>
    </row>
    <row r="53" spans="1:4" x14ac:dyDescent="0.3">
      <c r="A53" t="s">
        <v>36</v>
      </c>
      <c r="B53" t="s">
        <v>37</v>
      </c>
      <c r="C53" t="s">
        <v>64</v>
      </c>
      <c r="D53">
        <v>45</v>
      </c>
    </row>
    <row r="54" spans="1:4" x14ac:dyDescent="0.3">
      <c r="A54" t="s">
        <v>36</v>
      </c>
      <c r="B54" t="s">
        <v>37</v>
      </c>
      <c r="C54" t="s">
        <v>13</v>
      </c>
      <c r="D54">
        <v>31</v>
      </c>
    </row>
    <row r="55" spans="1:4" x14ac:dyDescent="0.3">
      <c r="A55" t="s">
        <v>36</v>
      </c>
      <c r="B55" t="s">
        <v>37</v>
      </c>
      <c r="C55" t="s">
        <v>25</v>
      </c>
      <c r="D55">
        <v>3</v>
      </c>
    </row>
    <row r="56" spans="1:4" x14ac:dyDescent="0.3">
      <c r="A56" t="s">
        <v>36</v>
      </c>
      <c r="B56" t="s">
        <v>37</v>
      </c>
      <c r="C56" t="s">
        <v>5</v>
      </c>
      <c r="D56">
        <v>42</v>
      </c>
    </row>
    <row r="57" spans="1:4" x14ac:dyDescent="0.3">
      <c r="A57" t="s">
        <v>36</v>
      </c>
      <c r="B57" t="s">
        <v>37</v>
      </c>
      <c r="C57" t="s">
        <v>19</v>
      </c>
      <c r="D57">
        <v>5</v>
      </c>
    </row>
    <row r="58" spans="1:4" x14ac:dyDescent="0.3">
      <c r="A58" t="s">
        <v>36</v>
      </c>
      <c r="B58" t="s">
        <v>71</v>
      </c>
      <c r="C58" t="s">
        <v>34</v>
      </c>
      <c r="D58">
        <v>5</v>
      </c>
    </row>
    <row r="59" spans="1:4" x14ac:dyDescent="0.3">
      <c r="A59" t="s">
        <v>36</v>
      </c>
      <c r="B59" t="s">
        <v>37</v>
      </c>
      <c r="C59" t="s">
        <v>18</v>
      </c>
      <c r="D59">
        <v>48</v>
      </c>
    </row>
    <row r="60" spans="1:4" x14ac:dyDescent="0.3">
      <c r="A60" t="s">
        <v>38</v>
      </c>
      <c r="B60" t="s">
        <v>37</v>
      </c>
      <c r="C60" t="s">
        <v>19</v>
      </c>
      <c r="D60">
        <v>5</v>
      </c>
    </row>
    <row r="61" spans="1:4" x14ac:dyDescent="0.3">
      <c r="A61" t="s">
        <v>38</v>
      </c>
      <c r="B61" t="s">
        <v>71</v>
      </c>
      <c r="C61" t="s">
        <v>5</v>
      </c>
      <c r="D61">
        <v>15</v>
      </c>
    </row>
    <row r="62" spans="1:4" x14ac:dyDescent="0.3">
      <c r="A62" t="s">
        <v>38</v>
      </c>
      <c r="B62" t="s">
        <v>37</v>
      </c>
      <c r="C62" t="s">
        <v>22</v>
      </c>
      <c r="D62">
        <v>1</v>
      </c>
    </row>
    <row r="63" spans="1:4" x14ac:dyDescent="0.3">
      <c r="A63" t="s">
        <v>38</v>
      </c>
      <c r="B63" t="s">
        <v>37</v>
      </c>
      <c r="C63" t="s">
        <v>13</v>
      </c>
      <c r="D63">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Montgomery_Fleet_Equipment_Inve</vt:lpstr>
      <vt:lpstr>dashboard</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Asus</cp:lastModifiedBy>
  <dcterms:created xsi:type="dcterms:W3CDTF">2022-09-20T01:31:05Z</dcterms:created>
  <dcterms:modified xsi:type="dcterms:W3CDTF">2022-10-18T04:12:18Z</dcterms:modified>
</cp:coreProperties>
</file>